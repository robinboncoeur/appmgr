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27ba64c119cf450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showBorderUnselectedTables="0" showInkAnnotation="0" saveExternalLinkValues="0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obyn\Desktop\Projects\Taxes\2025\"/>
    </mc:Choice>
  </mc:AlternateContent>
  <xr:revisionPtr revIDLastSave="0" documentId="13_ncr:1_{0DCADE9F-6189-4E99-BAD1-A8D9287D8305}" xr6:coauthVersionLast="47" xr6:coauthVersionMax="47" xr10:uidLastSave="{00000000-0000-0000-0000-000000000000}"/>
  <bookViews>
    <workbookView xWindow="2055" yWindow="360" windowWidth="24000" windowHeight="15015" tabRatio="874" xr2:uid="{00000000-000D-0000-FFFF-FFFF00000000}"/>
  </bookViews>
  <sheets>
    <sheet name="Checking" sheetId="5" r:id="rId1"/>
    <sheet name="CreditCard" sheetId="3" r:id="rId2"/>
    <sheet name="Savings" sheetId="9" r:id="rId3"/>
    <sheet name="AList" sheetId="1" r:id="rId4"/>
    <sheet name="TSy" sheetId="38" r:id="rId5"/>
    <sheet name="Overview" sheetId="12" r:id="rId6"/>
    <sheet name="Qtr1" sheetId="36" r:id="rId7"/>
    <sheet name="Qtr2" sheetId="35" r:id="rId8"/>
    <sheet name="Qtr3" sheetId="41" r:id="rId9"/>
    <sheet name="Qtr4" sheetId="50" r:id="rId10"/>
    <sheet name="Bud-Q1" sheetId="26" r:id="rId11"/>
    <sheet name="Bud-Q2" sheetId="27" r:id="rId12"/>
    <sheet name="Bud-Q3" sheetId="32" r:id="rId13"/>
    <sheet name="Bud-Q4" sheetId="51" r:id="rId14"/>
    <sheet name="Meta" sheetId="42" r:id="rId15"/>
    <sheet name="QSuper" sheetId="11" r:id="rId16"/>
  </sheets>
  <functionGroups builtInGroupCount="19"/>
  <definedNames>
    <definedName name="_xlnm._FilterDatabase" localSheetId="0" hidden="1">Checking!$A$1:$G$341</definedName>
    <definedName name="_xlnm._FilterDatabase" localSheetId="1" hidden="1">CreditCard!$A$1:$G$980</definedName>
    <definedName name="_xlnm._FilterDatabase" localSheetId="15" hidden="1">QSuper!$A$9:$H$138</definedName>
    <definedName name="_xlnm._FilterDatabase" localSheetId="2" hidden="1">Savings!$A$1:$G$261</definedName>
    <definedName name="_xlnm.Print_Area" localSheetId="10">'Bud-Q1'!$L$2:$O$44</definedName>
    <definedName name="_xlnm.Print_Area" localSheetId="11">'Bud-Q2'!$L$2:$O$44</definedName>
    <definedName name="_xlnm.Print_Area" localSheetId="12">'Bud-Q3'!$L$2:$O$44</definedName>
    <definedName name="_xlnm.Print_Area" localSheetId="13">'Bud-Q4'!$L$2:$O$44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50" l="1"/>
  <c r="J9" i="50"/>
  <c r="J8" i="50"/>
  <c r="J7" i="50"/>
  <c r="J6" i="50"/>
  <c r="J10" i="41"/>
  <c r="J9" i="41"/>
  <c r="J8" i="41"/>
  <c r="J7" i="41"/>
  <c r="J6" i="41"/>
  <c r="J10" i="35"/>
  <c r="J9" i="35"/>
  <c r="J8" i="35"/>
  <c r="J7" i="35"/>
  <c r="J6" i="35"/>
  <c r="J10" i="36"/>
  <c r="J9" i="36"/>
  <c r="J8" i="36"/>
  <c r="J7" i="36"/>
  <c r="J6" i="36"/>
  <c r="H12" i="36"/>
  <c r="G8" i="50"/>
  <c r="G7" i="50"/>
  <c r="G6" i="50"/>
  <c r="G8" i="41"/>
  <c r="G7" i="41"/>
  <c r="G6" i="41"/>
  <c r="G8" i="35"/>
  <c r="G7" i="35"/>
  <c r="G6" i="35"/>
  <c r="G8" i="36"/>
  <c r="G7" i="36"/>
  <c r="G6" i="36"/>
  <c r="M19" i="36"/>
  <c r="P17" i="36"/>
  <c r="P16" i="36"/>
  <c r="P15" i="36"/>
  <c r="P14" i="36"/>
  <c r="P13" i="36"/>
  <c r="P12" i="36"/>
  <c r="P17" i="50"/>
  <c r="P16" i="50"/>
  <c r="P15" i="50"/>
  <c r="P14" i="50"/>
  <c r="P13" i="50"/>
  <c r="P12" i="50"/>
  <c r="P17" i="41"/>
  <c r="P16" i="41"/>
  <c r="P15" i="41"/>
  <c r="P14" i="41"/>
  <c r="P13" i="41"/>
  <c r="P12" i="41"/>
  <c r="P12" i="35"/>
  <c r="P13" i="35"/>
  <c r="P14" i="35"/>
  <c r="P17" i="35"/>
  <c r="P16" i="35"/>
  <c r="P15" i="35"/>
  <c r="H9" i="12"/>
  <c r="H8" i="12"/>
  <c r="H9" i="51"/>
  <c r="H8" i="51"/>
  <c r="H7" i="51"/>
  <c r="H5" i="51"/>
  <c r="H4" i="51"/>
  <c r="H3" i="51"/>
  <c r="H9" i="32"/>
  <c r="H8" i="32"/>
  <c r="H7" i="32"/>
  <c r="H5" i="32"/>
  <c r="H4" i="32"/>
  <c r="H3" i="32"/>
  <c r="H9" i="27"/>
  <c r="H8" i="27"/>
  <c r="H7" i="27"/>
  <c r="H5" i="27"/>
  <c r="H4" i="27"/>
  <c r="H3" i="27"/>
  <c r="H4" i="26"/>
  <c r="H5" i="26"/>
  <c r="H7" i="26"/>
  <c r="H8" i="26"/>
  <c r="H3" i="26"/>
  <c r="H9" i="26"/>
  <c r="H7" i="12"/>
  <c r="H8" i="38"/>
  <c r="Q15" i="36"/>
  <c r="I6" i="26" s="1"/>
  <c r="Q17" i="50"/>
  <c r="I8" i="51" s="1"/>
  <c r="Q12" i="50"/>
  <c r="I3" i="51" s="1"/>
  <c r="Q14" i="50"/>
  <c r="I5" i="51" s="1"/>
  <c r="Q16" i="50"/>
  <c r="I7" i="51" s="1"/>
  <c r="Q15" i="50"/>
  <c r="I6" i="51" s="1"/>
  <c r="Q13" i="50"/>
  <c r="I4" i="51" s="1"/>
  <c r="Q17" i="41"/>
  <c r="I8" i="32" s="1"/>
  <c r="Q16" i="41"/>
  <c r="I7" i="32" s="1"/>
  <c r="Q15" i="41"/>
  <c r="I6" i="32" s="1"/>
  <c r="Q14" i="41"/>
  <c r="I5" i="32" s="1"/>
  <c r="Q13" i="41"/>
  <c r="I4" i="32" s="1"/>
  <c r="Q12" i="41"/>
  <c r="I3" i="32" s="1"/>
  <c r="Q17" i="35"/>
  <c r="I8" i="27" s="1"/>
  <c r="Q12" i="35"/>
  <c r="I3" i="27" s="1"/>
  <c r="Q15" i="35"/>
  <c r="I6" i="27" s="1"/>
  <c r="Q14" i="35"/>
  <c r="I5" i="27" s="1"/>
  <c r="Q13" i="35"/>
  <c r="I4" i="27" s="1"/>
  <c r="Q16" i="35"/>
  <c r="I7" i="27" s="1"/>
  <c r="I9" i="27" s="1"/>
  <c r="I28" i="27" s="1"/>
  <c r="Q17" i="36"/>
  <c r="I8" i="26" s="1"/>
  <c r="Q13" i="36"/>
  <c r="I4" i="26" s="1"/>
  <c r="Q12" i="36"/>
  <c r="I3" i="26" s="1"/>
  <c r="Q16" i="36"/>
  <c r="I7" i="26" s="1"/>
  <c r="Q14" i="36"/>
  <c r="I5" i="26" s="1"/>
  <c r="Q16" i="38"/>
  <c r="Q15" i="38"/>
  <c r="Q13" i="38"/>
  <c r="Q17" i="38"/>
  <c r="Q12" i="38"/>
  <c r="Q14" i="38"/>
  <c r="I9" i="51" l="1"/>
  <c r="I9" i="32"/>
  <c r="I9" i="26"/>
  <c r="I28" i="26" s="1"/>
  <c r="H6" i="51"/>
  <c r="H6" i="32"/>
  <c r="H6" i="27"/>
  <c r="H6" i="26"/>
  <c r="I9" i="12"/>
  <c r="I7" i="12"/>
  <c r="I8" i="12"/>
  <c r="C32" i="51" l="1"/>
  <c r="C32" i="32"/>
  <c r="C29" i="32"/>
  <c r="C30" i="32"/>
  <c r="C31" i="32"/>
  <c r="C32" i="27"/>
  <c r="C29" i="27"/>
  <c r="C30" i="27"/>
  <c r="C31" i="27"/>
  <c r="C32" i="26"/>
  <c r="C29" i="26"/>
  <c r="C30" i="26"/>
  <c r="C31" i="26"/>
  <c r="C21" i="51"/>
  <c r="C20" i="51"/>
  <c r="C17" i="51"/>
  <c r="C18" i="51"/>
  <c r="C16" i="51"/>
  <c r="C11" i="51"/>
  <c r="C12" i="51"/>
  <c r="C13" i="51"/>
  <c r="C14" i="51"/>
  <c r="C10" i="51"/>
  <c r="C4" i="51"/>
  <c r="C5" i="51"/>
  <c r="C6" i="51"/>
  <c r="C7" i="51"/>
  <c r="C8" i="51"/>
  <c r="C3" i="51"/>
  <c r="C24" i="51"/>
  <c r="C25" i="51"/>
  <c r="C26" i="51"/>
  <c r="C23" i="51"/>
  <c r="C29" i="51"/>
  <c r="C30" i="51"/>
  <c r="C31" i="51"/>
  <c r="C28" i="51"/>
  <c r="G2" i="51"/>
  <c r="B2" i="51"/>
  <c r="B35" i="51"/>
  <c r="H21" i="51" s="1"/>
  <c r="B27" i="51"/>
  <c r="H22" i="51"/>
  <c r="B22" i="51"/>
  <c r="H20" i="51"/>
  <c r="H19" i="51"/>
  <c r="B19" i="51"/>
  <c r="H18" i="51"/>
  <c r="G15" i="51"/>
  <c r="B15" i="51"/>
  <c r="H17" i="51" s="1"/>
  <c r="B9" i="51"/>
  <c r="H16" i="51" s="1"/>
  <c r="C38" i="12"/>
  <c r="C37" i="12"/>
  <c r="C34" i="12"/>
  <c r="C35" i="12"/>
  <c r="C33" i="12"/>
  <c r="F1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N12" i="38"/>
  <c r="K12" i="38"/>
  <c r="H6" i="38"/>
  <c r="H7" i="38"/>
  <c r="K18" i="38"/>
  <c r="E11" i="38"/>
  <c r="K15" i="38"/>
  <c r="N8" i="38"/>
  <c r="N9" i="38"/>
  <c r="K14" i="38"/>
  <c r="K17" i="38"/>
  <c r="Q6" i="38"/>
  <c r="K13" i="38"/>
  <c r="E8" i="41"/>
  <c r="N8" i="41"/>
  <c r="E7" i="41"/>
  <c r="N14" i="41"/>
  <c r="N15" i="41"/>
  <c r="N7" i="41"/>
  <c r="E9" i="41"/>
  <c r="E6" i="41"/>
  <c r="H6" i="41"/>
  <c r="N19" i="41"/>
  <c r="N6" i="41"/>
  <c r="K14" i="41"/>
  <c r="H12" i="41"/>
  <c r="K12" i="41"/>
  <c r="H7" i="41"/>
  <c r="K17" i="41"/>
  <c r="N12" i="41"/>
  <c r="K15" i="41"/>
  <c r="E11" i="41"/>
  <c r="H13" i="41"/>
  <c r="N9" i="41"/>
  <c r="N13" i="41"/>
  <c r="K13" i="41"/>
  <c r="E10" i="41"/>
  <c r="N18" i="41"/>
  <c r="Q6" i="41"/>
  <c r="K18" i="41"/>
  <c r="H8" i="41"/>
  <c r="N19" i="50"/>
  <c r="E8" i="50"/>
  <c r="H8" i="50"/>
  <c r="N9" i="50"/>
  <c r="K17" i="50"/>
  <c r="K6" i="50"/>
  <c r="H6" i="50"/>
  <c r="K15" i="50"/>
  <c r="Q6" i="50"/>
  <c r="E11" i="50"/>
  <c r="K8" i="50"/>
  <c r="H12" i="50"/>
  <c r="K13" i="50"/>
  <c r="N14" i="50"/>
  <c r="H13" i="50"/>
  <c r="E10" i="50"/>
  <c r="N6" i="50"/>
  <c r="E9" i="50"/>
  <c r="H7" i="50"/>
  <c r="K12" i="50"/>
  <c r="N18" i="50"/>
  <c r="E7" i="50"/>
  <c r="N12" i="50"/>
  <c r="N13" i="50"/>
  <c r="K18" i="50"/>
  <c r="K7" i="50"/>
  <c r="K9" i="50"/>
  <c r="E6" i="50"/>
  <c r="N8" i="50"/>
  <c r="N15" i="50"/>
  <c r="K14" i="50"/>
  <c r="N7" i="50"/>
  <c r="K10" i="50"/>
  <c r="E6" i="35"/>
  <c r="N19" i="35"/>
  <c r="N13" i="35"/>
  <c r="K17" i="35"/>
  <c r="E10" i="35"/>
  <c r="N18" i="35"/>
  <c r="H12" i="35"/>
  <c r="K18" i="35"/>
  <c r="H7" i="35"/>
  <c r="K14" i="35"/>
  <c r="E11" i="35"/>
  <c r="H8" i="35"/>
  <c r="N8" i="35"/>
  <c r="N12" i="35"/>
  <c r="K15" i="35"/>
  <c r="N7" i="35"/>
  <c r="Q6" i="35"/>
  <c r="E8" i="35"/>
  <c r="N6" i="35"/>
  <c r="E9" i="35"/>
  <c r="H6" i="35"/>
  <c r="N15" i="35"/>
  <c r="N9" i="35"/>
  <c r="K13" i="35"/>
  <c r="H13" i="35"/>
  <c r="K12" i="35"/>
  <c r="N14" i="35"/>
  <c r="E7" i="35"/>
  <c r="E7" i="36"/>
  <c r="K13" i="36"/>
  <c r="H8" i="36"/>
  <c r="N15" i="36"/>
  <c r="E6" i="36"/>
  <c r="N7" i="36"/>
  <c r="N14" i="36"/>
  <c r="H6" i="36"/>
  <c r="K15" i="36"/>
  <c r="E11" i="36"/>
  <c r="K12" i="36"/>
  <c r="H7" i="36"/>
  <c r="N9" i="36"/>
  <c r="E9" i="36"/>
  <c r="H13" i="36"/>
  <c r="K18" i="36"/>
  <c r="Q6" i="36"/>
  <c r="N8" i="36"/>
  <c r="E8" i="36"/>
  <c r="N6" i="36"/>
  <c r="K17" i="36"/>
  <c r="N12" i="36"/>
  <c r="K14" i="36"/>
  <c r="E10" i="36"/>
  <c r="N13" i="36"/>
  <c r="D29" i="32" l="1"/>
  <c r="D32" i="32"/>
  <c r="D31" i="32"/>
  <c r="D30" i="32"/>
  <c r="D14" i="51"/>
  <c r="D24" i="51"/>
  <c r="D31" i="51"/>
  <c r="D25" i="51"/>
  <c r="D3" i="51"/>
  <c r="D13" i="51"/>
  <c r="D11" i="51"/>
  <c r="D29" i="51"/>
  <c r="D28" i="51"/>
  <c r="D4" i="51"/>
  <c r="D17" i="51"/>
  <c r="D6" i="51"/>
  <c r="D23" i="51"/>
  <c r="D7" i="51"/>
  <c r="D21" i="51"/>
  <c r="D30" i="51"/>
  <c r="D20" i="51"/>
  <c r="D22" i="51" s="1"/>
  <c r="I19" i="51" s="1"/>
  <c r="D12" i="51"/>
  <c r="D16" i="51"/>
  <c r="D10" i="51"/>
  <c r="D32" i="51"/>
  <c r="D26" i="51"/>
  <c r="D18" i="51"/>
  <c r="D5" i="51"/>
  <c r="D30" i="27"/>
  <c r="D31" i="27"/>
  <c r="D32" i="27"/>
  <c r="D29" i="27"/>
  <c r="D29" i="26"/>
  <c r="D32" i="26"/>
  <c r="D30" i="26"/>
  <c r="D31" i="26"/>
  <c r="D37" i="12"/>
  <c r="D38" i="12"/>
  <c r="D8" i="51"/>
  <c r="H10" i="50"/>
  <c r="H10" i="41"/>
  <c r="H10" i="35"/>
  <c r="H10" i="36"/>
  <c r="I1" i="9"/>
  <c r="I1" i="5"/>
  <c r="K1" i="3"/>
  <c r="E10" i="38"/>
  <c r="H12" i="38"/>
  <c r="E8" i="38"/>
  <c r="K9" i="38"/>
  <c r="E7" i="38"/>
  <c r="E9" i="38"/>
  <c r="N18" i="38"/>
  <c r="K6" i="38"/>
  <c r="N15" i="38"/>
  <c r="N7" i="38"/>
  <c r="N13" i="38"/>
  <c r="H13" i="38"/>
  <c r="E6" i="38"/>
  <c r="K7" i="38"/>
  <c r="N19" i="38"/>
  <c r="K8" i="38"/>
  <c r="K10" i="38"/>
  <c r="N6" i="38"/>
  <c r="N14" i="38"/>
  <c r="K8" i="41"/>
  <c r="K9" i="41"/>
  <c r="K10" i="41"/>
  <c r="K6" i="41"/>
  <c r="K7" i="41"/>
  <c r="K8" i="35"/>
  <c r="K6" i="35"/>
  <c r="K9" i="35"/>
  <c r="K7" i="35"/>
  <c r="K10" i="35"/>
  <c r="K6" i="36"/>
  <c r="K9" i="36"/>
  <c r="K10" i="36"/>
  <c r="K7" i="36"/>
  <c r="K8" i="36"/>
  <c r="D35" i="51" l="1"/>
  <c r="I21" i="51" s="1"/>
  <c r="D27" i="51"/>
  <c r="I20" i="51" s="1"/>
  <c r="D34" i="12"/>
  <c r="D33" i="12"/>
  <c r="D35" i="12"/>
  <c r="D19" i="51"/>
  <c r="I18" i="51" s="1"/>
  <c r="D9" i="51"/>
  <c r="I16" i="51" s="1"/>
  <c r="I1" i="3"/>
  <c r="C24" i="26"/>
  <c r="B9" i="32"/>
  <c r="C28" i="32"/>
  <c r="C26" i="32"/>
  <c r="C25" i="32"/>
  <c r="C24" i="32"/>
  <c r="C23" i="32"/>
  <c r="C21" i="32"/>
  <c r="C20" i="32"/>
  <c r="C18" i="32"/>
  <c r="C17" i="32"/>
  <c r="C16" i="32"/>
  <c r="C14" i="32"/>
  <c r="C13" i="32"/>
  <c r="C12" i="32"/>
  <c r="C11" i="32"/>
  <c r="C10" i="32"/>
  <c r="C8" i="32"/>
  <c r="C7" i="32"/>
  <c r="C6" i="32"/>
  <c r="C5" i="32"/>
  <c r="C4" i="32"/>
  <c r="C3" i="32"/>
  <c r="B35" i="32"/>
  <c r="B27" i="32"/>
  <c r="H20" i="32" s="1"/>
  <c r="B22" i="32"/>
  <c r="H19" i="32" s="1"/>
  <c r="B19" i="32"/>
  <c r="H18" i="32" s="1"/>
  <c r="B15" i="32"/>
  <c r="B32" i="12"/>
  <c r="H33" i="12" s="1"/>
  <c r="C30" i="12"/>
  <c r="C29" i="12"/>
  <c r="C28" i="12"/>
  <c r="C27" i="12"/>
  <c r="B26" i="12"/>
  <c r="C25" i="12"/>
  <c r="C24" i="12"/>
  <c r="B23" i="12"/>
  <c r="C22" i="12"/>
  <c r="C21" i="12"/>
  <c r="C20" i="12"/>
  <c r="B19" i="12"/>
  <c r="C18" i="12"/>
  <c r="C17" i="12"/>
  <c r="C16" i="12"/>
  <c r="C15" i="12"/>
  <c r="C14" i="12"/>
  <c r="B13" i="12"/>
  <c r="C12" i="12"/>
  <c r="C11" i="12"/>
  <c r="C10" i="12"/>
  <c r="C9" i="12"/>
  <c r="C8" i="12"/>
  <c r="C7" i="12"/>
  <c r="H6" i="12"/>
  <c r="B6" i="12"/>
  <c r="H5" i="12"/>
  <c r="H4" i="12"/>
  <c r="B35" i="27"/>
  <c r="C28" i="27"/>
  <c r="B27" i="27"/>
  <c r="C26" i="27"/>
  <c r="C25" i="27"/>
  <c r="C24" i="27"/>
  <c r="C23" i="27"/>
  <c r="B22" i="27"/>
  <c r="C21" i="27"/>
  <c r="C20" i="27"/>
  <c r="B19" i="27"/>
  <c r="C18" i="27"/>
  <c r="C17" i="27"/>
  <c r="C16" i="27"/>
  <c r="B15" i="27"/>
  <c r="C14" i="27"/>
  <c r="C13" i="27"/>
  <c r="C12" i="27"/>
  <c r="C11" i="27"/>
  <c r="C10" i="27"/>
  <c r="B9" i="27"/>
  <c r="C8" i="27"/>
  <c r="C7" i="27"/>
  <c r="C6" i="27"/>
  <c r="C5" i="27"/>
  <c r="C4" i="27"/>
  <c r="C3" i="27"/>
  <c r="B35" i="26"/>
  <c r="C28" i="26"/>
  <c r="B27" i="26"/>
  <c r="C26" i="26"/>
  <c r="C25" i="26"/>
  <c r="C23" i="26"/>
  <c r="B22" i="26"/>
  <c r="C21" i="26"/>
  <c r="C20" i="26"/>
  <c r="B19" i="26"/>
  <c r="C18" i="26"/>
  <c r="C17" i="26"/>
  <c r="C16" i="26"/>
  <c r="B15" i="26"/>
  <c r="C14" i="26"/>
  <c r="C13" i="26"/>
  <c r="C12" i="26"/>
  <c r="C11" i="26"/>
  <c r="C10" i="26"/>
  <c r="B9" i="26"/>
  <c r="C8" i="26"/>
  <c r="C7" i="26"/>
  <c r="C6" i="26"/>
  <c r="C5" i="26"/>
  <c r="C4" i="26"/>
  <c r="C3" i="26"/>
  <c r="G2" i="32"/>
  <c r="B2" i="32"/>
  <c r="H22" i="32"/>
  <c r="H21" i="32"/>
  <c r="G15" i="32"/>
  <c r="H17" i="32"/>
  <c r="H16" i="32"/>
  <c r="I33" i="12" l="1"/>
  <c r="I28" i="51"/>
  <c r="D15" i="51"/>
  <c r="I17" i="51" s="1"/>
  <c r="I4" i="12"/>
  <c r="D15" i="12"/>
  <c r="D12" i="32"/>
  <c r="D28" i="12"/>
  <c r="D7" i="12"/>
  <c r="D29" i="12"/>
  <c r="D24" i="26"/>
  <c r="D10" i="32"/>
  <c r="D7" i="32"/>
  <c r="D26" i="32"/>
  <c r="D11" i="12"/>
  <c r="D17" i="12"/>
  <c r="D10" i="12"/>
  <c r="D21" i="32"/>
  <c r="D25" i="12"/>
  <c r="I6" i="12"/>
  <c r="D6" i="32"/>
  <c r="D17" i="32"/>
  <c r="D8" i="32"/>
  <c r="D18" i="12"/>
  <c r="D11" i="32"/>
  <c r="D30" i="12"/>
  <c r="D22" i="12"/>
  <c r="D20" i="32"/>
  <c r="D24" i="12"/>
  <c r="D3" i="32"/>
  <c r="D16" i="12"/>
  <c r="D18" i="32"/>
  <c r="D13" i="32"/>
  <c r="D4" i="32"/>
  <c r="D8" i="12"/>
  <c r="D14" i="12"/>
  <c r="D21" i="12"/>
  <c r="I5" i="12"/>
  <c r="D5" i="32"/>
  <c r="D25" i="32"/>
  <c r="D14" i="32"/>
  <c r="D9" i="12"/>
  <c r="D28" i="32"/>
  <c r="D35" i="32" s="1"/>
  <c r="D23" i="32"/>
  <c r="D12" i="12"/>
  <c r="D27" i="12"/>
  <c r="D16" i="32"/>
  <c r="D24" i="32"/>
  <c r="H10" i="38"/>
  <c r="D20" i="12"/>
  <c r="D5" i="12"/>
  <c r="D20" i="26"/>
  <c r="D26" i="27"/>
  <c r="D26" i="26"/>
  <c r="D10" i="27"/>
  <c r="D5" i="27"/>
  <c r="D21" i="27"/>
  <c r="D10" i="26"/>
  <c r="D5" i="26"/>
  <c r="D21" i="26"/>
  <c r="D20" i="27"/>
  <c r="D23" i="27"/>
  <c r="D18" i="27"/>
  <c r="D7" i="27"/>
  <c r="D23" i="26"/>
  <c r="D18" i="26"/>
  <c r="D7" i="26"/>
  <c r="D17" i="26"/>
  <c r="D14" i="27"/>
  <c r="D11" i="27"/>
  <c r="D14" i="26"/>
  <c r="D11" i="26"/>
  <c r="D4" i="27"/>
  <c r="D25" i="27"/>
  <c r="D8" i="27"/>
  <c r="D4" i="26"/>
  <c r="D25" i="26"/>
  <c r="D8" i="26"/>
  <c r="D12" i="27"/>
  <c r="D6" i="27"/>
  <c r="D12" i="26"/>
  <c r="D6" i="26"/>
  <c r="D17" i="27"/>
  <c r="D3" i="27"/>
  <c r="D24" i="27"/>
  <c r="D13" i="27"/>
  <c r="D28" i="27"/>
  <c r="D13" i="26"/>
  <c r="D28" i="26"/>
  <c r="D35" i="26" s="1"/>
  <c r="D3" i="26"/>
  <c r="D16" i="27"/>
  <c r="D16" i="26"/>
  <c r="I12" i="12" l="1"/>
  <c r="I27" i="12"/>
  <c r="I22" i="51"/>
  <c r="I28" i="32"/>
  <c r="D22" i="32"/>
  <c r="I19" i="32" s="1"/>
  <c r="D19" i="32"/>
  <c r="I18" i="32" s="1"/>
  <c r="I21" i="32"/>
  <c r="D15" i="32"/>
  <c r="I17" i="32" s="1"/>
  <c r="D9" i="32"/>
  <c r="I16" i="32" s="1"/>
  <c r="D27" i="32"/>
  <c r="I20" i="32" s="1"/>
  <c r="G2" i="27"/>
  <c r="B2" i="27"/>
  <c r="H22" i="27"/>
  <c r="H21" i="27"/>
  <c r="H20" i="27"/>
  <c r="H19" i="27"/>
  <c r="H18" i="27"/>
  <c r="G15" i="27"/>
  <c r="H17" i="27"/>
  <c r="H16" i="27"/>
  <c r="G2" i="26"/>
  <c r="B2" i="26"/>
  <c r="H22" i="26"/>
  <c r="H21" i="26"/>
  <c r="H20" i="26"/>
  <c r="H19" i="26"/>
  <c r="H18" i="26"/>
  <c r="G15" i="26"/>
  <c r="H16" i="26"/>
  <c r="D27" i="27"/>
  <c r="I20" i="27" s="1"/>
  <c r="D19" i="27"/>
  <c r="I18" i="27" s="1"/>
  <c r="D22" i="27"/>
  <c r="I19" i="27" s="1"/>
  <c r="I29" i="51" l="1"/>
  <c r="I30" i="51" s="1"/>
  <c r="I22" i="32"/>
  <c r="D9" i="27"/>
  <c r="I16" i="27" s="1"/>
  <c r="D15" i="27"/>
  <c r="I17" i="27" s="1"/>
  <c r="D9" i="26"/>
  <c r="I16" i="26" s="1"/>
  <c r="D27" i="26"/>
  <c r="I20" i="26" s="1"/>
  <c r="D15" i="26"/>
  <c r="I17" i="26" s="1"/>
  <c r="H17" i="26"/>
  <c r="D19" i="26"/>
  <c r="I18" i="26" s="1"/>
  <c r="D35" i="27" l="1"/>
  <c r="I21" i="27" s="1"/>
  <c r="I29" i="32"/>
  <c r="I30" i="32" s="1"/>
  <c r="I21" i="26"/>
  <c r="D22" i="26"/>
  <c r="I19" i="26" s="1"/>
  <c r="I22" i="27" l="1"/>
  <c r="I22" i="26"/>
  <c r="I29" i="26" s="1"/>
  <c r="I30" i="26" s="1"/>
  <c r="I29" i="27" l="1"/>
  <c r="I30" i="27" s="1"/>
  <c r="C5" i="12"/>
  <c r="H30" i="12" l="1"/>
  <c r="I32" i="12" l="1"/>
  <c r="I30" i="12" l="1"/>
  <c r="H31" i="12" l="1"/>
  <c r="H28" i="12"/>
  <c r="H29" i="12"/>
  <c r="H27" i="12"/>
  <c r="H32" i="12"/>
  <c r="G26" i="12"/>
  <c r="G3" i="12"/>
  <c r="B3" i="12"/>
  <c r="I28" i="12" l="1"/>
  <c r="I29" i="12"/>
  <c r="I31" i="12"/>
  <c r="I35" i="12" l="1"/>
</calcChain>
</file>

<file path=xl/sharedStrings.xml><?xml version="1.0" encoding="utf-8"?>
<sst xmlns="http://schemas.openxmlformats.org/spreadsheetml/2006/main" count="1257" uniqueCount="141">
  <si>
    <t>Insurance</t>
  </si>
  <si>
    <t>Date</t>
  </si>
  <si>
    <t>Amount</t>
  </si>
  <si>
    <t>Description</t>
  </si>
  <si>
    <t>Transport</t>
  </si>
  <si>
    <t>Medical</t>
  </si>
  <si>
    <t>Donations</t>
  </si>
  <si>
    <t>Groceries</t>
  </si>
  <si>
    <t>Petrol</t>
  </si>
  <si>
    <t>Hair-Nails</t>
  </si>
  <si>
    <t>Service</t>
  </si>
  <si>
    <t>Dining</t>
  </si>
  <si>
    <t>Parking</t>
  </si>
  <si>
    <t>Alcohol</t>
  </si>
  <si>
    <t>Daily Living Expenses</t>
  </si>
  <si>
    <t>Code</t>
  </si>
  <si>
    <t>Entertain</t>
  </si>
  <si>
    <t>IT</t>
  </si>
  <si>
    <t>Unknown</t>
  </si>
  <si>
    <t>Transaction type</t>
  </si>
  <si>
    <t>Net amount</t>
  </si>
  <si>
    <t>Accumulation</t>
  </si>
  <si>
    <t>-</t>
  </si>
  <si>
    <t>Death Premiums</t>
  </si>
  <si>
    <t>Premium</t>
  </si>
  <si>
    <t>Employer Contributions</t>
  </si>
  <si>
    <t>Queensland Health</t>
  </si>
  <si>
    <t>Salary Sacrifice Standard Member Contributions</t>
  </si>
  <si>
    <t>Transfers/rollovers In</t>
  </si>
  <si>
    <t>Transfer/rollover</t>
  </si>
  <si>
    <t xml:space="preserve">QSUPER </t>
  </si>
  <si>
    <t>Acct type</t>
  </si>
  <si>
    <t>Gross amt</t>
  </si>
  <si>
    <t>Tax</t>
  </si>
  <si>
    <t>All Bank Fees</t>
  </si>
  <si>
    <t>Sundry</t>
  </si>
  <si>
    <t>Public Transp</t>
  </si>
  <si>
    <t>Move Transaction Target to this column before processing</t>
  </si>
  <si>
    <t>Meds - Surgery</t>
  </si>
  <si>
    <t>Alt Medicine</t>
  </si>
  <si>
    <t>DLXALI</t>
  </si>
  <si>
    <t>DLXDIN</t>
  </si>
  <si>
    <t>Revenue (Pension)</t>
  </si>
  <si>
    <t>Furnishings</t>
  </si>
  <si>
    <t>Maintenance</t>
  </si>
  <si>
    <t>Phone-Internet</t>
  </si>
  <si>
    <t>Auto (NRMA)</t>
  </si>
  <si>
    <t>Contents (NRMA)</t>
  </si>
  <si>
    <t>Rob's Hobbies</t>
  </si>
  <si>
    <t>Julia's Hobbies</t>
  </si>
  <si>
    <t>Electricity</t>
  </si>
  <si>
    <t>Rates</t>
  </si>
  <si>
    <t>Utilities - Rates</t>
  </si>
  <si>
    <t>Revenue</t>
  </si>
  <si>
    <t>Expenses (Total)</t>
  </si>
  <si>
    <t>Balance</t>
  </si>
  <si>
    <t>Uncoded</t>
  </si>
  <si>
    <t>Rego &amp; Fines</t>
  </si>
  <si>
    <t>Savings Start</t>
  </si>
  <si>
    <t>Savings End</t>
  </si>
  <si>
    <t>CreditCard Start</t>
  </si>
  <si>
    <t>CreditCard End</t>
  </si>
  <si>
    <t>Checking Start</t>
  </si>
  <si>
    <t>Checking End</t>
  </si>
  <si>
    <t>Field Ranges</t>
  </si>
  <si>
    <t>Gifts</t>
  </si>
  <si>
    <t>msgFilter</t>
  </si>
  <si>
    <t>Cannot run whilst a filter is set...</t>
  </si>
  <si>
    <t>msgHelpLink</t>
  </si>
  <si>
    <t>msgMoveTT</t>
  </si>
  <si>
    <t>linkHelp</t>
  </si>
  <si>
    <t>linkURL</t>
  </si>
  <si>
    <t>microsoft-edge:</t>
  </si>
  <si>
    <t>Please copy the following link into your browser address bar</t>
  </si>
  <si>
    <t>Move Transaction Target [Column C] to Column G prior to processsing.</t>
  </si>
  <si>
    <t>WOOLWORTHS</t>
  </si>
  <si>
    <t>Food Store</t>
  </si>
  <si>
    <t>IGA</t>
  </si>
  <si>
    <t>FRUIT</t>
  </si>
  <si>
    <t>PRODUCE</t>
  </si>
  <si>
    <t>BAKERY</t>
  </si>
  <si>
    <t>Dining Out</t>
  </si>
  <si>
    <t>COLES</t>
  </si>
  <si>
    <t>MUSHROOM</t>
  </si>
  <si>
    <t>Woolworths Food Store</t>
  </si>
  <si>
    <t>Coles Food Store</t>
  </si>
  <si>
    <t>IGA Food Store</t>
  </si>
  <si>
    <t>1 BEAN</t>
  </si>
  <si>
    <t>FOOD</t>
  </si>
  <si>
    <t>MERLO</t>
  </si>
  <si>
    <t>SUPERMARKET</t>
  </si>
  <si>
    <t>FROOT</t>
  </si>
  <si>
    <t>Fruit &amp; Vege</t>
  </si>
  <si>
    <t>Sum of unknowns</t>
  </si>
  <si>
    <t>Transactions</t>
  </si>
  <si>
    <t>BANJOS</t>
  </si>
  <si>
    <t>ALH VEN</t>
  </si>
  <si>
    <t>ALDI</t>
  </si>
  <si>
    <t>Aldi Food Store</t>
  </si>
  <si>
    <t>ANZAC SQUARE CARVERY</t>
  </si>
  <si>
    <t>CARTE MEAT</t>
  </si>
  <si>
    <t>Meat Food Store</t>
  </si>
  <si>
    <t>SPAR</t>
  </si>
  <si>
    <t>Spar Food Store</t>
  </si>
  <si>
    <t>2024</t>
  </si>
  <si>
    <t>QUITELIKE</t>
  </si>
  <si>
    <t>Prepared Food Kits</t>
  </si>
  <si>
    <t>FLANNERYS</t>
  </si>
  <si>
    <t>France At Home-Preserves</t>
  </si>
  <si>
    <t>ALEXANDRA HILLS HOT</t>
  </si>
  <si>
    <t>ALLOWAY FARM</t>
  </si>
  <si>
    <t>DRAKE SUPER</t>
  </si>
  <si>
    <t>PRESTIGE MEATS</t>
  </si>
  <si>
    <t>RACQ</t>
  </si>
  <si>
    <t>SEASONS SUPER</t>
  </si>
  <si>
    <t>SKIPPY</t>
  </si>
  <si>
    <t>NUG. GENERAL STORE</t>
  </si>
  <si>
    <t>Supermarket</t>
  </si>
  <si>
    <t>Meats</t>
  </si>
  <si>
    <t>Coffee</t>
  </si>
  <si>
    <t>FOR FOOD</t>
  </si>
  <si>
    <t>MEGA DISCOUTN</t>
  </si>
  <si>
    <t>LINVILLE STORE</t>
  </si>
  <si>
    <t>BONNEMAMAN</t>
  </si>
  <si>
    <t>GC FACTORY</t>
  </si>
  <si>
    <t>REDLANDS PRODUCE</t>
  </si>
  <si>
    <t>CRUSTY EDGE BAKERY</t>
  </si>
  <si>
    <t>Household</t>
  </si>
  <si>
    <t>Other</t>
  </si>
  <si>
    <t>Holidays</t>
  </si>
  <si>
    <t>Oz</t>
  </si>
  <si>
    <t>Canada</t>
  </si>
  <si>
    <t>Bank Fees</t>
  </si>
  <si>
    <t>Retirement TopUp</t>
  </si>
  <si>
    <t>Refunds-Loan Repay</t>
  </si>
  <si>
    <t>Cannot open the Help file: is the Internet available?</t>
  </si>
  <si>
    <t>msgNoconnect</t>
  </si>
  <si>
    <t>https://robinboncoeur.github.io/appmgr/RSTs/TxnTr09.html</t>
  </si>
  <si>
    <t>Income-A</t>
  </si>
  <si>
    <t>Income-B</t>
  </si>
  <si>
    <t>Income-C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</si>
</sst>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_);[Red]\(&quot;$&quot;#,##0.00\)"/>
    <numFmt numFmtId="164" formatCode="&quot;$&quot;#,##0.00;[Red]\-&quot;$&quot;#,##0.00"/>
    <numFmt numFmtId="165" formatCode="_-&quot;$&quot;* #,##0.00_-;\-&quot;$&quot;* #,##0.00_-;_-&quot;$&quot;* &quot;-&quot;??_-;_-@_-"/>
    <numFmt numFmtId="166" formatCode="_-\$* #,##0.00_-;&quot;-$&quot;* #,##0.00_-;_-\$* \-??_-;_-@_-"/>
    <numFmt numFmtId="167" formatCode="dd/mm/yyyy"/>
    <numFmt numFmtId="168" formatCode="dd/mm/yyyy;@"/>
    <numFmt numFmtId="169" formatCode="0.00_ ;[Red]\-0.00\ "/>
    <numFmt numFmtId="170" formatCode="\$#,##0.00;[Red]\$#,##0.00"/>
    <numFmt numFmtId="171" formatCode="&quot;$&quot;#,##0.00"/>
    <numFmt numFmtId="172" formatCode="&quot;$&quot;#,##0.00;[Red]&quot;$&quot;#,##0.00"/>
  </numFmts>
  <fonts count="33" x14ac:knownFonts="1">
    <font>
      <sz val="10"/>
      <name val="Arial"/>
      <family val="2"/>
      <charset val="1"/>
    </font>
    <font>
      <b/>
      <sz val="16"/>
      <name val="Arial"/>
      <family val="2"/>
      <charset val="1"/>
    </font>
    <font>
      <sz val="8"/>
      <name val="Arial"/>
      <family val="2"/>
      <charset val="1"/>
    </font>
    <font>
      <sz val="18"/>
      <name val="Arial"/>
      <family val="2"/>
      <charset val="1"/>
    </font>
    <font>
      <b/>
      <sz val="26"/>
      <color rgb="FF008000"/>
      <name val="Arial"/>
      <family val="2"/>
      <charset val="1"/>
    </font>
    <font>
      <sz val="14"/>
      <name val="Arial"/>
      <family val="2"/>
      <charset val="1"/>
    </font>
    <font>
      <b/>
      <sz val="14"/>
      <name val="Arial"/>
      <family val="2"/>
      <charset val="1"/>
    </font>
    <font>
      <b/>
      <sz val="8"/>
      <name val="Arial"/>
      <family val="2"/>
      <charset val="1"/>
    </font>
    <font>
      <b/>
      <sz val="10"/>
      <name val="Arial"/>
      <family val="2"/>
      <charset val="1"/>
    </font>
    <font>
      <b/>
      <sz val="11"/>
      <name val="Arial"/>
      <family val="2"/>
      <charset val="1"/>
    </font>
    <font>
      <sz val="14"/>
      <color rgb="FFCCFFFF"/>
      <name val="Arial"/>
      <family val="2"/>
      <charset val="1"/>
    </font>
    <font>
      <sz val="10"/>
      <color rgb="FFFF0000"/>
      <name val="Arial"/>
      <family val="2"/>
      <charset val="1"/>
    </font>
    <font>
      <sz val="10"/>
      <name val="Arial"/>
      <family val="2"/>
      <charset val="1"/>
    </font>
    <font>
      <b/>
      <sz val="10"/>
      <name val="Arial"/>
      <family val="2"/>
    </font>
    <font>
      <b/>
      <sz val="11"/>
      <color theme="9" tint="0.79998168889431442"/>
      <name val="Arial"/>
      <family val="2"/>
    </font>
    <font>
      <b/>
      <sz val="12"/>
      <color theme="9" tint="0.79998168889431442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0"/>
      <color rgb="FFFF0000"/>
      <name val="Arial"/>
      <family val="2"/>
    </font>
    <font>
      <sz val="14"/>
      <color rgb="FFFF0000"/>
      <name val="Arial"/>
      <family val="2"/>
    </font>
    <font>
      <sz val="10"/>
      <color rgb="FFFF0000"/>
      <name val="Arial"/>
      <family val="2"/>
    </font>
    <font>
      <b/>
      <sz val="14"/>
      <color rgb="FFFFFFFF"/>
      <name val="Arial"/>
      <family val="2"/>
      <charset val="1"/>
    </font>
    <font>
      <b/>
      <sz val="11"/>
      <name val="Arial"/>
      <family val="2"/>
    </font>
    <font>
      <b/>
      <sz val="10"/>
      <color theme="0"/>
      <name val="Arial"/>
      <family val="2"/>
    </font>
    <font>
      <sz val="10"/>
      <color rgb="FF008000"/>
      <name val="Arial"/>
      <family val="2"/>
      <charset val="1"/>
    </font>
    <font>
      <b/>
      <sz val="10"/>
      <color rgb="FF008000"/>
      <name val="Arial"/>
      <family val="2"/>
      <charset val="1"/>
    </font>
    <font>
      <sz val="10"/>
      <name val="Courier New"/>
      <family val="3"/>
    </font>
    <font>
      <b/>
      <sz val="10"/>
      <color rgb="FFFF0000"/>
      <name val="Arial"/>
      <family val="2"/>
      <charset val="1"/>
    </font>
    <font>
      <sz val="10"/>
      <color theme="0"/>
      <name val="Arial"/>
      <family val="2"/>
      <charset val="1"/>
    </font>
    <font>
      <b/>
      <sz val="10"/>
      <name val="Courier New"/>
      <family val="3"/>
    </font>
    <font>
      <sz val="11"/>
      <color theme="9" tint="0.79998168889431442"/>
      <name val="Arial"/>
      <family val="2"/>
    </font>
    <font>
      <u/>
      <sz val="10"/>
      <color theme="10"/>
      <name val="Arial"/>
      <family val="2"/>
      <charset val="1"/>
    </font>
  </fonts>
  <fills count="20">
    <fill>
      <patternFill patternType="none"/>
    </fill>
    <fill>
      <patternFill patternType="gray125"/>
    </fill>
    <fill>
      <patternFill patternType="solid">
        <fgColor rgb="FF003300"/>
        <bgColor rgb="FF212121"/>
      </patternFill>
    </fill>
    <fill>
      <patternFill patternType="solid">
        <fgColor rgb="FFCCFFCC"/>
        <bgColor rgb="FFCCFFFF"/>
      </patternFill>
    </fill>
    <fill>
      <patternFill patternType="solid">
        <fgColor theme="9" tint="-0.249977111117893"/>
        <bgColor rgb="FF008080"/>
      </patternFill>
    </fill>
    <fill>
      <patternFill patternType="solid">
        <fgColor theme="9" tint="-0.249977111117893"/>
        <bgColor rgb="FF212121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rgb="FFF4B183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67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rgb="FF212121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66FF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theme="5" tint="-0.24994659260841701"/>
      </left>
      <right/>
      <top style="thick">
        <color theme="5" tint="-0.24994659260841701"/>
      </top>
      <bottom/>
      <diagonal/>
    </border>
    <border>
      <left/>
      <right style="thick">
        <color theme="5" tint="-0.24994659260841701"/>
      </right>
      <top style="thick">
        <color theme="5" tint="-0.24994659260841701"/>
      </top>
      <bottom/>
      <diagonal/>
    </border>
    <border>
      <left style="thick">
        <color theme="5" tint="-0.24994659260841701"/>
      </left>
      <right/>
      <top/>
      <bottom/>
      <diagonal/>
    </border>
    <border>
      <left/>
      <right style="thick">
        <color theme="5" tint="-0.24994659260841701"/>
      </right>
      <top/>
      <bottom/>
      <diagonal/>
    </border>
    <border>
      <left style="thick">
        <color theme="5" tint="-0.24994659260841701"/>
      </left>
      <right/>
      <top/>
      <bottom style="thick">
        <color theme="5" tint="-0.24994659260841701"/>
      </bottom>
      <diagonal/>
    </border>
    <border>
      <left/>
      <right style="thick">
        <color theme="5" tint="-0.24994659260841701"/>
      </right>
      <top/>
      <bottom style="thick">
        <color theme="5" tint="-0.24994659260841701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ck">
        <color auto="1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 style="thick">
        <color auto="1"/>
      </right>
      <top/>
      <bottom style="thin">
        <color indexed="64"/>
      </bottom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6" fontId="12" fillId="0" borderId="0" applyBorder="0" applyProtection="0"/>
    <xf numFmtId="0" fontId="32" fillId="0" borderId="0" applyNumberFormat="0" applyFill="0" applyBorder="0" applyAlignment="0" applyProtection="0"/>
  </cellStyleXfs>
  <cellXfs count="164">
    <xf numFmtId="0" fontId="0" fillId="0" borderId="0" xfId="0"/>
    <xf numFmtId="166" fontId="1" fillId="0" borderId="0" xfId="1" applyFont="1" applyBorder="1" applyProtection="1"/>
    <xf numFmtId="0" fontId="2" fillId="0" borderId="0" xfId="0" applyFont="1"/>
    <xf numFmtId="0" fontId="0" fillId="2" borderId="0" xfId="0" applyFill="1"/>
    <xf numFmtId="0" fontId="3" fillId="2" borderId="0" xfId="0" applyFont="1" applyFill="1"/>
    <xf numFmtId="0" fontId="2" fillId="2" borderId="0" xfId="0" applyFont="1" applyFill="1"/>
    <xf numFmtId="0" fontId="4" fillId="2" borderId="0" xfId="0" applyFont="1" applyFill="1" applyAlignment="1">
      <alignment horizontal="left"/>
    </xf>
    <xf numFmtId="0" fontId="0" fillId="0" borderId="3" xfId="0" applyBorder="1"/>
    <xf numFmtId="0" fontId="2" fillId="0" borderId="5" xfId="0" applyFont="1" applyBorder="1"/>
    <xf numFmtId="0" fontId="0" fillId="0" borderId="4" xfId="0" applyBorder="1"/>
    <xf numFmtId="0" fontId="7" fillId="0" borderId="5" xfId="0" applyFont="1" applyBorder="1" applyAlignment="1">
      <alignment horizontal="center"/>
    </xf>
    <xf numFmtId="0" fontId="0" fillId="0" borderId="5" xfId="0" applyBorder="1"/>
    <xf numFmtId="0" fontId="2" fillId="0" borderId="6" xfId="0" applyFont="1" applyBorder="1"/>
    <xf numFmtId="0" fontId="0" fillId="0" borderId="0" xfId="0" applyAlignment="1">
      <alignment horizontal="right"/>
    </xf>
    <xf numFmtId="167" fontId="0" fillId="0" borderId="0" xfId="0" applyNumberFormat="1"/>
    <xf numFmtId="170" fontId="0" fillId="0" borderId="0" xfId="0" applyNumberFormat="1"/>
    <xf numFmtId="168" fontId="0" fillId="0" borderId="0" xfId="0" applyNumberFormat="1"/>
    <xf numFmtId="168" fontId="0" fillId="0" borderId="0" xfId="0" applyNumberFormat="1" applyAlignment="1">
      <alignment horizontal="left"/>
    </xf>
    <xf numFmtId="169" fontId="0" fillId="0" borderId="0" xfId="0" applyNumberFormat="1"/>
    <xf numFmtId="166" fontId="0" fillId="0" borderId="0" xfId="0" applyNumberFormat="1"/>
    <xf numFmtId="0" fontId="13" fillId="0" borderId="0" xfId="0" applyFont="1"/>
    <xf numFmtId="0" fontId="14" fillId="5" borderId="0" xfId="0" applyFont="1" applyFill="1"/>
    <xf numFmtId="0" fontId="15" fillId="4" borderId="0" xfId="0" applyFont="1" applyFill="1" applyAlignment="1">
      <alignment horizontal="center" wrapText="1"/>
    </xf>
    <xf numFmtId="0" fontId="15" fillId="4" borderId="0" xfId="0" applyFont="1" applyFill="1"/>
    <xf numFmtId="0" fontId="0" fillId="5" borderId="0" xfId="0" applyFill="1"/>
    <xf numFmtId="0" fontId="0" fillId="6" borderId="0" xfId="0" applyFill="1"/>
    <xf numFmtId="164" fontId="0" fillId="0" borderId="0" xfId="0" applyNumberFormat="1"/>
    <xf numFmtId="170" fontId="2" fillId="0" borderId="0" xfId="0" applyNumberFormat="1" applyFont="1"/>
    <xf numFmtId="0" fontId="1" fillId="0" borderId="0" xfId="0" applyFont="1"/>
    <xf numFmtId="166" fontId="20" fillId="0" borderId="5" xfId="1" applyFont="1" applyBorder="1" applyProtection="1"/>
    <xf numFmtId="0" fontId="2" fillId="0" borderId="8" xfId="0" applyFont="1" applyBorder="1"/>
    <xf numFmtId="166" fontId="1" fillId="0" borderId="2" xfId="1" applyFont="1" applyBorder="1" applyProtection="1"/>
    <xf numFmtId="170" fontId="13" fillId="0" borderId="10" xfId="0" applyNumberFormat="1" applyFont="1" applyBorder="1" applyAlignment="1">
      <alignment horizontal="center" wrapText="1"/>
    </xf>
    <xf numFmtId="0" fontId="13" fillId="0" borderId="10" xfId="0" applyFont="1" applyBorder="1" applyAlignment="1">
      <alignment horizontal="center" wrapText="1"/>
    </xf>
    <xf numFmtId="0" fontId="9" fillId="0" borderId="10" xfId="0" applyFont="1" applyBorder="1"/>
    <xf numFmtId="0" fontId="7" fillId="0" borderId="10" xfId="0" applyFont="1" applyBorder="1" applyAlignment="1">
      <alignment horizontal="center"/>
    </xf>
    <xf numFmtId="169" fontId="16" fillId="0" borderId="10" xfId="0" applyNumberFormat="1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168" fontId="0" fillId="0" borderId="10" xfId="0" applyNumberFormat="1" applyBorder="1" applyAlignment="1">
      <alignment horizontal="center" wrapText="1"/>
    </xf>
    <xf numFmtId="168" fontId="2" fillId="0" borderId="10" xfId="0" applyNumberFormat="1" applyFont="1" applyBorder="1" applyAlignment="1">
      <alignment horizontal="center" wrapText="1"/>
    </xf>
    <xf numFmtId="0" fontId="10" fillId="0" borderId="10" xfId="0" applyFont="1" applyBorder="1" applyAlignment="1">
      <alignment horizontal="center" wrapText="1"/>
    </xf>
    <xf numFmtId="0" fontId="16" fillId="0" borderId="0" xfId="0" applyFont="1" applyAlignment="1">
      <alignment horizontal="right"/>
    </xf>
    <xf numFmtId="166" fontId="21" fillId="0" borderId="0" xfId="1" applyFont="1" applyBorder="1" applyProtection="1"/>
    <xf numFmtId="0" fontId="5" fillId="2" borderId="0" xfId="0" applyFont="1" applyFill="1"/>
    <xf numFmtId="166" fontId="16" fillId="0" borderId="0" xfId="0" applyNumberFormat="1" applyFont="1"/>
    <xf numFmtId="0" fontId="16" fillId="0" borderId="9" xfId="0" applyFont="1" applyBorder="1" applyAlignment="1">
      <alignment horizontal="right"/>
    </xf>
    <xf numFmtId="166" fontId="13" fillId="0" borderId="9" xfId="1" applyFont="1" applyBorder="1" applyProtection="1"/>
    <xf numFmtId="0" fontId="16" fillId="0" borderId="0" xfId="0" applyFont="1"/>
    <xf numFmtId="166" fontId="16" fillId="0" borderId="0" xfId="1" applyFont="1" applyBorder="1"/>
    <xf numFmtId="0" fontId="8" fillId="0" borderId="7" xfId="0" applyFont="1" applyBorder="1"/>
    <xf numFmtId="0" fontId="8" fillId="0" borderId="4" xfId="0" applyFont="1" applyBorder="1"/>
    <xf numFmtId="0" fontId="13" fillId="0" borderId="4" xfId="0" applyFont="1" applyBorder="1"/>
    <xf numFmtId="167" fontId="0" fillId="0" borderId="0" xfId="0" applyNumberFormat="1" applyAlignment="1">
      <alignment horizontal="left"/>
    </xf>
    <xf numFmtId="167" fontId="16" fillId="0" borderId="10" xfId="0" applyNumberFormat="1" applyFont="1" applyBorder="1" applyAlignment="1">
      <alignment horizontal="center"/>
    </xf>
    <xf numFmtId="165" fontId="0" fillId="0" borderId="0" xfId="0" applyNumberFormat="1"/>
    <xf numFmtId="0" fontId="0" fillId="0" borderId="13" xfId="0" applyBorder="1" applyAlignment="1">
      <alignment horizontal="right"/>
    </xf>
    <xf numFmtId="165" fontId="0" fillId="0" borderId="14" xfId="0" applyNumberFormat="1" applyBorder="1"/>
    <xf numFmtId="0" fontId="0" fillId="9" borderId="13" xfId="0" applyFill="1" applyBorder="1" applyAlignment="1">
      <alignment horizontal="right"/>
    </xf>
    <xf numFmtId="165" fontId="0" fillId="9" borderId="14" xfId="0" applyNumberFormat="1" applyFill="1" applyBorder="1"/>
    <xf numFmtId="0" fontId="0" fillId="9" borderId="15" xfId="0" applyFill="1" applyBorder="1" applyAlignment="1">
      <alignment horizontal="right"/>
    </xf>
    <xf numFmtId="165" fontId="0" fillId="9" borderId="16" xfId="0" applyNumberFormat="1" applyFill="1" applyBorder="1"/>
    <xf numFmtId="0" fontId="0" fillId="11" borderId="0" xfId="0" applyFill="1"/>
    <xf numFmtId="165" fontId="0" fillId="11" borderId="0" xfId="0" applyNumberFormat="1" applyFill="1"/>
    <xf numFmtId="0" fontId="0" fillId="12" borderId="0" xfId="0" applyFill="1"/>
    <xf numFmtId="165" fontId="0" fillId="12" borderId="0" xfId="0" applyNumberFormat="1" applyFill="1"/>
    <xf numFmtId="0" fontId="0" fillId="0" borderId="19" xfId="0" applyBorder="1" applyAlignment="1">
      <alignment horizontal="right"/>
    </xf>
    <xf numFmtId="165" fontId="0" fillId="0" borderId="20" xfId="0" applyNumberFormat="1" applyBorder="1"/>
    <xf numFmtId="0" fontId="0" fillId="7" borderId="19" xfId="0" applyFill="1" applyBorder="1" applyAlignment="1">
      <alignment horizontal="right"/>
    </xf>
    <xf numFmtId="165" fontId="0" fillId="7" borderId="20" xfId="0" applyNumberFormat="1" applyFill="1" applyBorder="1"/>
    <xf numFmtId="165" fontId="21" fillId="0" borderId="0" xfId="0" applyNumberFormat="1" applyFont="1" applyAlignment="1">
      <alignment horizontal="right"/>
    </xf>
    <xf numFmtId="168" fontId="15" fillId="4" borderId="0" xfId="0" applyNumberFormat="1" applyFont="1" applyFill="1" applyAlignment="1">
      <alignment horizontal="center" wrapText="1"/>
    </xf>
    <xf numFmtId="8" fontId="0" fillId="0" borderId="0" xfId="0" applyNumberFormat="1"/>
    <xf numFmtId="168" fontId="13" fillId="0" borderId="10" xfId="0" applyNumberFormat="1" applyFont="1" applyBorder="1" applyAlignment="1">
      <alignment horizontal="center" wrapText="1"/>
    </xf>
    <xf numFmtId="165" fontId="11" fillId="0" borderId="14" xfId="0" applyNumberFormat="1" applyFont="1" applyBorder="1"/>
    <xf numFmtId="165" fontId="11" fillId="9" borderId="14" xfId="0" applyNumberFormat="1" applyFont="1" applyFill="1" applyBorder="1"/>
    <xf numFmtId="166" fontId="11" fillId="0" borderId="0" xfId="0" applyNumberFormat="1" applyFont="1"/>
    <xf numFmtId="166" fontId="21" fillId="0" borderId="0" xfId="0" applyNumberFormat="1" applyFont="1"/>
    <xf numFmtId="0" fontId="25" fillId="2" borderId="0" xfId="0" applyFont="1" applyFill="1" applyAlignment="1">
      <alignment horizontal="center"/>
    </xf>
    <xf numFmtId="49" fontId="26" fillId="2" borderId="0" xfId="1" applyNumberFormat="1" applyFont="1" applyFill="1" applyBorder="1" applyAlignment="1" applyProtection="1">
      <alignment horizontal="center"/>
    </xf>
    <xf numFmtId="0" fontId="27" fillId="0" borderId="0" xfId="0" applyFont="1"/>
    <xf numFmtId="0" fontId="0" fillId="0" borderId="13" xfId="0" applyBorder="1"/>
    <xf numFmtId="0" fontId="0" fillId="0" borderId="14" xfId="0" applyBorder="1"/>
    <xf numFmtId="0" fontId="0" fillId="9" borderId="15" xfId="0" applyFill="1" applyBorder="1"/>
    <xf numFmtId="165" fontId="21" fillId="0" borderId="14" xfId="0" applyNumberFormat="1" applyFont="1" applyBorder="1"/>
    <xf numFmtId="0" fontId="23" fillId="13" borderId="0" xfId="0" applyFont="1" applyFill="1" applyAlignment="1">
      <alignment horizontal="center"/>
    </xf>
    <xf numFmtId="0" fontId="0" fillId="13" borderId="0" xfId="0" applyFill="1"/>
    <xf numFmtId="0" fontId="13" fillId="13" borderId="0" xfId="0" applyFont="1" applyFill="1" applyAlignment="1">
      <alignment horizontal="center"/>
    </xf>
    <xf numFmtId="0" fontId="5" fillId="0" borderId="2" xfId="0" applyFont="1" applyBorder="1"/>
    <xf numFmtId="165" fontId="19" fillId="0" borderId="14" xfId="0" applyNumberFormat="1" applyFont="1" applyBorder="1"/>
    <xf numFmtId="165" fontId="11" fillId="9" borderId="16" xfId="0" applyNumberFormat="1" applyFont="1" applyFill="1" applyBorder="1"/>
    <xf numFmtId="165" fontId="13" fillId="0" borderId="0" xfId="0" applyNumberFormat="1" applyFont="1"/>
    <xf numFmtId="0" fontId="16" fillId="14" borderId="0" xfId="0" applyFont="1" applyFill="1" applyAlignment="1">
      <alignment horizontal="center"/>
    </xf>
    <xf numFmtId="0" fontId="0" fillId="14" borderId="21" xfId="0" applyFill="1" applyBorder="1" applyAlignment="1">
      <alignment horizontal="center"/>
    </xf>
    <xf numFmtId="165" fontId="19" fillId="0" borderId="3" xfId="0" applyNumberFormat="1" applyFont="1" applyBorder="1"/>
    <xf numFmtId="0" fontId="13" fillId="15" borderId="24" xfId="0" applyFont="1" applyFill="1" applyBorder="1"/>
    <xf numFmtId="0" fontId="0" fillId="15" borderId="1" xfId="0" applyFill="1" applyBorder="1"/>
    <xf numFmtId="0" fontId="2" fillId="15" borderId="25" xfId="0" applyFont="1" applyFill="1" applyBorder="1"/>
    <xf numFmtId="0" fontId="8" fillId="15" borderId="24" xfId="0" applyFont="1" applyFill="1" applyBorder="1"/>
    <xf numFmtId="166" fontId="28" fillId="15" borderId="1" xfId="1" applyFont="1" applyFill="1" applyBorder="1" applyProtection="1"/>
    <xf numFmtId="166" fontId="19" fillId="0" borderId="9" xfId="1" applyFont="1" applyBorder="1" applyProtection="1"/>
    <xf numFmtId="0" fontId="13" fillId="7" borderId="0" xfId="0" applyFont="1" applyFill="1"/>
    <xf numFmtId="0" fontId="13" fillId="9" borderId="3" xfId="0" applyFont="1" applyFill="1" applyBorder="1"/>
    <xf numFmtId="0" fontId="13" fillId="16" borderId="0" xfId="0" applyFont="1" applyFill="1" applyAlignment="1">
      <alignment horizontal="center"/>
    </xf>
    <xf numFmtId="0" fontId="0" fillId="7" borderId="13" xfId="0" applyFill="1" applyBorder="1" applyAlignment="1">
      <alignment horizontal="right"/>
    </xf>
    <xf numFmtId="0" fontId="0" fillId="7" borderId="15" xfId="0" applyFill="1" applyBorder="1" applyAlignment="1">
      <alignment horizontal="right"/>
    </xf>
    <xf numFmtId="165" fontId="0" fillId="7" borderId="16" xfId="0" applyNumberFormat="1" applyFill="1" applyBorder="1"/>
    <xf numFmtId="1" fontId="0" fillId="7" borderId="14" xfId="0" applyNumberFormat="1" applyFill="1" applyBorder="1"/>
    <xf numFmtId="0" fontId="0" fillId="0" borderId="26" xfId="0" applyBorder="1" applyAlignment="1">
      <alignment horizontal="right"/>
    </xf>
    <xf numFmtId="165" fontId="0" fillId="0" borderId="27" xfId="0" applyNumberFormat="1" applyBorder="1"/>
    <xf numFmtId="49" fontId="0" fillId="0" borderId="28" xfId="0" applyNumberFormat="1" applyBorder="1"/>
    <xf numFmtId="49" fontId="0" fillId="0" borderId="0" xfId="0" applyNumberFormat="1"/>
    <xf numFmtId="0" fontId="13" fillId="16" borderId="0" xfId="0" applyFont="1" applyFill="1" applyAlignment="1">
      <alignment horizontal="right"/>
    </xf>
    <xf numFmtId="171" fontId="13" fillId="16" borderId="0" xfId="0" applyNumberFormat="1" applyFont="1" applyFill="1"/>
    <xf numFmtId="168" fontId="16" fillId="0" borderId="10" xfId="0" applyNumberFormat="1" applyFont="1" applyBorder="1" applyAlignment="1">
      <alignment horizontal="center" wrapText="1"/>
    </xf>
    <xf numFmtId="0" fontId="0" fillId="17" borderId="0" xfId="0" applyFill="1"/>
    <xf numFmtId="0" fontId="14" fillId="0" borderId="0" xfId="0" applyFont="1"/>
    <xf numFmtId="0" fontId="31" fillId="0" borderId="0" xfId="0" applyFont="1"/>
    <xf numFmtId="167" fontId="8" fillId="18" borderId="0" xfId="0" applyNumberFormat="1" applyFont="1" applyFill="1"/>
    <xf numFmtId="0" fontId="8" fillId="18" borderId="0" xfId="0" applyFont="1" applyFill="1"/>
    <xf numFmtId="0" fontId="30" fillId="18" borderId="0" xfId="0" applyFont="1" applyFill="1"/>
    <xf numFmtId="0" fontId="14" fillId="18" borderId="0" xfId="0" applyFont="1" applyFill="1"/>
    <xf numFmtId="167" fontId="16" fillId="0" borderId="0" xfId="0" applyNumberFormat="1" applyFont="1"/>
    <xf numFmtId="164" fontId="16" fillId="0" borderId="0" xfId="0" applyNumberFormat="1" applyFont="1"/>
    <xf numFmtId="167" fontId="0" fillId="0" borderId="10" xfId="0" applyNumberFormat="1" applyBorder="1" applyAlignment="1">
      <alignment horizontal="center" wrapText="1"/>
    </xf>
    <xf numFmtId="172" fontId="0" fillId="0" borderId="10" xfId="0" applyNumberFormat="1" applyBorder="1" applyAlignment="1">
      <alignment horizontal="center" wrapText="1"/>
    </xf>
    <xf numFmtId="172" fontId="0" fillId="0" borderId="0" xfId="0" applyNumberFormat="1"/>
    <xf numFmtId="172" fontId="8" fillId="18" borderId="0" xfId="0" applyNumberFormat="1" applyFont="1" applyFill="1"/>
    <xf numFmtId="0" fontId="14" fillId="19" borderId="0" xfId="0" applyFont="1" applyFill="1"/>
    <xf numFmtId="167" fontId="8" fillId="19" borderId="0" xfId="0" applyNumberFormat="1" applyFont="1" applyFill="1"/>
    <xf numFmtId="172" fontId="8" fillId="19" borderId="0" xfId="0" applyNumberFormat="1" applyFont="1" applyFill="1"/>
    <xf numFmtId="0" fontId="8" fillId="19" borderId="0" xfId="0" applyFont="1" applyFill="1"/>
    <xf numFmtId="0" fontId="30" fillId="19" borderId="0" xfId="0" applyFont="1" applyFill="1"/>
    <xf numFmtId="166" fontId="21" fillId="0" borderId="3" xfId="0" applyNumberFormat="1" applyFont="1" applyBorder="1"/>
    <xf numFmtId="0" fontId="16" fillId="0" borderId="3" xfId="0" applyFont="1" applyBorder="1" applyAlignment="1">
      <alignment horizontal="right"/>
    </xf>
    <xf numFmtId="165" fontId="19" fillId="0" borderId="0" xfId="0" applyNumberFormat="1" applyFont="1"/>
    <xf numFmtId="166" fontId="21" fillId="0" borderId="0" xfId="1" applyFont="1" applyBorder="1" applyAlignment="1" applyProtection="1">
      <alignment horizontal="left"/>
    </xf>
    <xf numFmtId="166" fontId="1" fillId="0" borderId="0" xfId="1" applyFont="1" applyBorder="1" applyAlignment="1" applyProtection="1">
      <alignment horizontal="left"/>
    </xf>
    <xf numFmtId="165" fontId="21" fillId="0" borderId="0" xfId="0" applyNumberFormat="1" applyFont="1" applyAlignment="1">
      <alignment horizontal="left"/>
    </xf>
    <xf numFmtId="166" fontId="13" fillId="0" borderId="0" xfId="0" applyNumberFormat="1" applyFont="1"/>
    <xf numFmtId="166" fontId="19" fillId="0" borderId="0" xfId="0" applyNumberFormat="1" applyFont="1"/>
    <xf numFmtId="166" fontId="28" fillId="15" borderId="1" xfId="1" applyFont="1" applyFill="1" applyBorder="1" applyAlignment="1" applyProtection="1">
      <alignment horizontal="left"/>
    </xf>
    <xf numFmtId="49" fontId="32" fillId="0" borderId="28" xfId="2" applyNumberFormat="1" applyBorder="1"/>
    <xf numFmtId="0" fontId="13" fillId="13" borderId="11" xfId="0" applyFont="1" applyFill="1" applyBorder="1" applyAlignment="1">
      <alignment horizontal="center"/>
    </xf>
    <xf numFmtId="0" fontId="13" fillId="13" borderId="12" xfId="0" applyFont="1" applyFill="1" applyBorder="1" applyAlignment="1">
      <alignment horizontal="center"/>
    </xf>
    <xf numFmtId="0" fontId="13" fillId="13" borderId="13" xfId="0" applyFont="1" applyFill="1" applyBorder="1" applyAlignment="1">
      <alignment horizontal="center"/>
    </xf>
    <xf numFmtId="0" fontId="13" fillId="13" borderId="14" xfId="0" applyFont="1" applyFill="1" applyBorder="1" applyAlignment="1">
      <alignment horizontal="center"/>
    </xf>
    <xf numFmtId="0" fontId="24" fillId="6" borderId="17" xfId="0" applyFont="1" applyFill="1" applyBorder="1" applyAlignment="1">
      <alignment horizontal="center"/>
    </xf>
    <xf numFmtId="0" fontId="24" fillId="6" borderId="18" xfId="0" applyFont="1" applyFill="1" applyBorder="1" applyAlignment="1">
      <alignment horizontal="center"/>
    </xf>
    <xf numFmtId="0" fontId="29" fillId="17" borderId="13" xfId="0" applyFont="1" applyFill="1" applyBorder="1" applyAlignment="1">
      <alignment horizontal="center"/>
    </xf>
    <xf numFmtId="0" fontId="29" fillId="17" borderId="14" xfId="0" applyFont="1" applyFill="1" applyBorder="1" applyAlignment="1">
      <alignment horizontal="center"/>
    </xf>
    <xf numFmtId="0" fontId="24" fillId="10" borderId="11" xfId="0" applyFont="1" applyFill="1" applyBorder="1" applyAlignment="1">
      <alignment horizontal="center"/>
    </xf>
    <xf numFmtId="0" fontId="24" fillId="10" borderId="12" xfId="0" applyFont="1" applyFill="1" applyBorder="1" applyAlignment="1">
      <alignment horizontal="center"/>
    </xf>
    <xf numFmtId="0" fontId="22" fillId="2" borderId="0" xfId="0" applyFont="1" applyFill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18" fillId="8" borderId="22" xfId="0" applyFont="1" applyFill="1" applyBorder="1" applyAlignment="1">
      <alignment horizontal="center" vertical="center"/>
    </xf>
    <xf numFmtId="0" fontId="18" fillId="8" borderId="23" xfId="0" applyFont="1" applyFill="1" applyBorder="1" applyAlignment="1">
      <alignment horizontal="center" vertical="center"/>
    </xf>
    <xf numFmtId="0" fontId="17" fillId="8" borderId="22" xfId="0" applyFont="1" applyFill="1" applyBorder="1" applyAlignment="1">
      <alignment horizontal="center" vertical="center"/>
    </xf>
    <xf numFmtId="0" fontId="17" fillId="8" borderId="23" xfId="0" applyFont="1" applyFill="1" applyBorder="1" applyAlignment="1">
      <alignment horizontal="center" vertical="center"/>
    </xf>
    <xf numFmtId="168" fontId="15" fillId="4" borderId="0" xfId="0" applyNumberFormat="1" applyFont="1" applyFill="1" applyAlignment="1">
      <alignment horizontal="center" wrapText="1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F2F2F2"/>
      <rgbColor rgb="FF800000"/>
      <rgbColor rgb="FF008000"/>
      <rgbColor rgb="FF000080"/>
      <rgbColor rgb="FFE2F0D9"/>
      <rgbColor rgb="FF800080"/>
      <rgbColor rgb="FF008080"/>
      <rgbColor rgb="FFC0C0C0"/>
      <rgbColor rgb="FFA9D18E"/>
      <rgbColor rgb="FF8FAADC"/>
      <rgbColor rgb="FF993366"/>
      <rgbColor rgb="FFFFF2CC"/>
      <rgbColor rgb="FFCCFFFF"/>
      <rgbColor rgb="FF660066"/>
      <rgbColor rgb="FFF4B183"/>
      <rgbColor rgb="FF0066CC"/>
      <rgbColor rgb="FFD0CECE"/>
      <rgbColor rgb="FF000080"/>
      <rgbColor rgb="FFFF00FF"/>
      <rgbColor rgb="FFC5E0B4"/>
      <rgbColor rgb="FFFDECE3"/>
      <rgbColor rgb="FF800080"/>
      <rgbColor rgb="FF800000"/>
      <rgbColor rgb="FF008080"/>
      <rgbColor rgb="FF0000FF"/>
      <rgbColor rgb="FFFFFAEB"/>
      <rgbColor rgb="FFDEEBF7"/>
      <rgbColor rgb="FFCCFFCC"/>
      <rgbColor rgb="FFFFFF99"/>
      <rgbColor rgb="FFBFBFBF"/>
      <rgbColor rgb="FFFF99CC"/>
      <rgbColor rgb="FFCC99FF"/>
      <rgbColor rgb="FFFFCC99"/>
      <rgbColor rgb="FF3366FF"/>
      <rgbColor rgb="FF33CCCC"/>
      <rgbColor rgb="FF99CC00"/>
      <rgbColor rgb="FFFFD966"/>
      <rgbColor rgb="FFD9D9D9"/>
      <rgbColor rgb="FFFF6600"/>
      <rgbColor rgb="FFFBE5D6"/>
      <rgbColor rgb="FFA6A6A6"/>
      <rgbColor rgb="FF003366"/>
      <rgbColor rgb="FFDAE3F3"/>
      <rgbColor rgb="FF003300"/>
      <rgbColor rgb="FF212121"/>
      <rgbColor rgb="FF993300"/>
      <rgbColor rgb="FF993366"/>
      <rgbColor rgb="FF333399"/>
      <rgbColor rgb="FF333F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6FF"/>
      <color rgb="FFFFCCCC"/>
      <color rgb="FFFFCCFF"/>
      <color rgb="FFD67F00"/>
      <color rgb="FF993366"/>
      <color rgb="FFFD1BE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Expenses Summary</a:t>
            </a:r>
          </a:p>
        </c:rich>
      </c:tx>
      <c:layout>
        <c:manualLayout>
          <c:xMode val="edge"/>
          <c:yMode val="edge"/>
          <c:x val="0.4094930008748907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6224186906349511E-2"/>
          <c:y val="0.13137727502372062"/>
          <c:w val="0.96755162618730095"/>
          <c:h val="0.756259844335158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solidFill>
                <a:schemeClr val="dk1">
                  <a:lumMod val="65000"/>
                  <a:lumOff val="35000"/>
                  <a:alpha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Overview!$H$27:$H$33</c:f>
              <c:strCache>
                <c:ptCount val="7"/>
                <c:pt idx="0">
                  <c:v>Daily Living Expenses</c:v>
                </c:pt>
                <c:pt idx="1">
                  <c:v>Insurance</c:v>
                </c:pt>
                <c:pt idx="2">
                  <c:v>Transport</c:v>
                </c:pt>
                <c:pt idx="3">
                  <c:v>Utilities - Rates</c:v>
                </c:pt>
                <c:pt idx="4">
                  <c:v>Medical</c:v>
                </c:pt>
                <c:pt idx="5">
                  <c:v>Donations</c:v>
                </c:pt>
                <c:pt idx="6">
                  <c:v>Sundry (Holidays)</c:v>
                </c:pt>
              </c:strCache>
            </c:strRef>
          </c:cat>
          <c:val>
            <c:numRef>
              <c:f>Overview!$I$27:$I$33</c:f>
              <c:numCache>
                <c:formatCode>_-\$* #,##0.00_-;"-$"* #,##0.00_-;_-\$* \-??_-;_-@_-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5-4B97-B3CB-EDF514A3524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97341624"/>
        <c:axId val="297343264"/>
      </c:barChart>
      <c:catAx>
        <c:axId val="297341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343264"/>
        <c:crosses val="autoZero"/>
        <c:auto val="1"/>
        <c:lblAlgn val="ctr"/>
        <c:lblOffset val="100"/>
        <c:noMultiLvlLbl val="0"/>
      </c:catAx>
      <c:valAx>
        <c:axId val="29734326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\$* #,##0.00_-;&quot;-$&quot;* #,##0.00_-;_-\$* \-??_-;_-@_-" sourceLinked="1"/>
        <c:majorTickMark val="none"/>
        <c:minorTickMark val="none"/>
        <c:tickLblPos val="nextTo"/>
        <c:crossAx val="29734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AU"/>
              <a:t>Daily Living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132935690466003"/>
          <c:y val="0.14888888888888888"/>
          <c:w val="0.79084559338170834"/>
          <c:h val="0.763735338167474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Overview!$C$7:$C$11</c:f>
              <c:strCache>
                <c:ptCount val="5"/>
                <c:pt idx="0">
                  <c:v>Groceries</c:v>
                </c:pt>
                <c:pt idx="1">
                  <c:v>Dining</c:v>
                </c:pt>
                <c:pt idx="2">
                  <c:v>Alcohol</c:v>
                </c:pt>
                <c:pt idx="3">
                  <c:v>Entertain</c:v>
                </c:pt>
                <c:pt idx="4">
                  <c:v>Hair-Nails</c:v>
                </c:pt>
              </c:strCache>
            </c:strRef>
          </c:cat>
          <c:val>
            <c:numRef>
              <c:f>Overview!$D$7:$D$11</c:f>
              <c:numCache>
                <c:formatCode>_-"$"* #,##0.00_-;\-"$"* #,##0.00_-;_-"$"* "-"??_-;_-@_-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5E-466B-B55A-97403657F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97406664"/>
        <c:axId val="297404040"/>
      </c:barChart>
      <c:catAx>
        <c:axId val="297406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404040"/>
        <c:crosses val="autoZero"/>
        <c:auto val="1"/>
        <c:lblAlgn val="ctr"/>
        <c:lblOffset val="100"/>
        <c:noMultiLvlLbl val="0"/>
      </c:catAx>
      <c:valAx>
        <c:axId val="29740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40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Transport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Overview!$C$14:$C$18</c:f>
              <c:strCache>
                <c:ptCount val="5"/>
                <c:pt idx="0">
                  <c:v>Petrol</c:v>
                </c:pt>
                <c:pt idx="1">
                  <c:v>Rego &amp; Fines</c:v>
                </c:pt>
                <c:pt idx="2">
                  <c:v>Service</c:v>
                </c:pt>
                <c:pt idx="3">
                  <c:v>Public Transp</c:v>
                </c:pt>
                <c:pt idx="4">
                  <c:v>Parking</c:v>
                </c:pt>
              </c:strCache>
            </c:strRef>
          </c:cat>
          <c:val>
            <c:numRef>
              <c:f>Overview!$D$14:$D$18</c:f>
              <c:numCache>
                <c:formatCode>_-"$"* #,##0.00_-;\-"$"* #,##0.00_-;_-"$"* "-"??_-;_-@_-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A6-4D16-99CE-CAD1DBA7F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90303848"/>
        <c:axId val="290305160"/>
      </c:barChart>
      <c:catAx>
        <c:axId val="290303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305160"/>
        <c:crosses val="autoZero"/>
        <c:auto val="1"/>
        <c:lblAlgn val="ctr"/>
        <c:lblOffset val="100"/>
        <c:noMultiLvlLbl val="0"/>
      </c:catAx>
      <c:valAx>
        <c:axId val="29030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30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48</xdr:row>
      <xdr:rowOff>19050</xdr:rowOff>
    </xdr:to>
    <xdr:sp macro="" textlink="">
      <xdr:nvSpPr>
        <xdr:cNvPr id="2050" name="_x0000_t202" hidden="1">
          <a:extLst>
            <a:ext uri="{FF2B5EF4-FFF2-40B4-BE49-F238E27FC236}">
              <a16:creationId xmlns:a16="http://schemas.microsoft.com/office/drawing/2014/main" id="{5CFDA956-8D41-4185-BD0C-EFE82717451C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48</xdr:row>
      <xdr:rowOff>19050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1AC1CC63-5D2B-4271-BD02-F7EE482DECD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48</xdr:row>
      <xdr:rowOff>19050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25C67DC-6677-46AA-8B10-4D2F35DB606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48</xdr:row>
      <xdr:rowOff>19050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D2EC7F01-CF28-42D7-928A-940052CF1E9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48</xdr:row>
      <xdr:rowOff>19050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86472121-F425-4AB5-A960-E51C2156E78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48</xdr:row>
      <xdr:rowOff>19050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52D8342D-AA90-4854-95C7-CC9DF8BBA38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48</xdr:row>
      <xdr:rowOff>19050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64855984-AA8A-4386-BC8D-2466920C27F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48</xdr:row>
      <xdr:rowOff>19050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630FA53B-1579-42AA-9960-15DCAA3EE04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48</xdr:row>
      <xdr:rowOff>19050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BF2BBFCE-B399-4257-AA31-3D7057AE01B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48</xdr:row>
      <xdr:rowOff>19050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9C58C88B-3041-4368-BA93-F5BE7684D22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48</xdr:row>
      <xdr:rowOff>19050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C26DA31-3D98-4985-81A7-447E12CB12A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>
      <xdr:nvSpPr>
        <xdr:cNvPr id="1026" name="_x0000_t202" hidden="1">
          <a:extLst>
            <a:ext uri="{FF2B5EF4-FFF2-40B4-BE49-F238E27FC236}">
              <a16:creationId xmlns:a16="http://schemas.microsoft.com/office/drawing/2014/main" id="{FA44F8B3-A3B4-4815-B345-30C36EFF9C29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685800</xdr:colOff>
      <xdr:row>20</xdr:row>
      <xdr:rowOff>19050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DD58716-F466-41E7-83EF-4E0D41D859D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362950" cy="57721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685800</xdr:colOff>
      <xdr:row>20</xdr:row>
      <xdr:rowOff>19050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6DB65D2A-040D-4D81-9CE4-A8ADA4CEB9F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362950" cy="57721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685800</xdr:colOff>
      <xdr:row>20</xdr:row>
      <xdr:rowOff>19050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7881EABB-1F62-45DB-9EAF-25646D6AF26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362950" cy="57721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685800</xdr:colOff>
      <xdr:row>20</xdr:row>
      <xdr:rowOff>19050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FA433D71-DBDE-40A8-A9FA-FE20EF4C0AD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362950" cy="57721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685800</xdr:colOff>
      <xdr:row>20</xdr:row>
      <xdr:rowOff>19050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CFCA23B8-1D1C-4B1E-A62D-577FEE843F8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362950" cy="57721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685800</xdr:colOff>
      <xdr:row>20</xdr:row>
      <xdr:rowOff>19050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BF9F4414-6515-4381-A5BA-E950A340C40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362950" cy="57721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685800</xdr:colOff>
      <xdr:row>20</xdr:row>
      <xdr:rowOff>19050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3CB0EE54-E6A7-4018-A89D-E9F01AF64AF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362950" cy="57721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685800</xdr:colOff>
      <xdr:row>20</xdr:row>
      <xdr:rowOff>19050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3D473244-C66D-48DA-9C23-9B6715132C9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362950" cy="57721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685800</xdr:colOff>
      <xdr:row>20</xdr:row>
      <xdr:rowOff>19050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50BABBF-66FE-44B1-91BF-48664669E3B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362950" cy="57721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685800</xdr:colOff>
      <xdr:row>20</xdr:row>
      <xdr:rowOff>19050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FEFD444D-2769-468D-9DBA-EC6396B67B2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8362950" cy="57721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9526</xdr:rowOff>
    </xdr:from>
    <xdr:to>
      <xdr:col>24</xdr:col>
      <xdr:colOff>19051</xdr:colOff>
      <xdr:row>21</xdr:row>
      <xdr:rowOff>57150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225DB44-0F30-4CC4-B2F6-E6F8575843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85725</xdr:colOff>
      <xdr:row>21</xdr:row>
      <xdr:rowOff>47625</xdr:rowOff>
    </xdr:from>
    <xdr:to>
      <xdr:col>15</xdr:col>
      <xdr:colOff>514350</xdr:colOff>
      <xdr:row>40</xdr:row>
      <xdr:rowOff>123825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38974C4-BF07-4372-AE74-E42C0E5D39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509587</xdr:colOff>
      <xdr:row>21</xdr:row>
      <xdr:rowOff>47624</xdr:rowOff>
    </xdr:from>
    <xdr:to>
      <xdr:col>24</xdr:col>
      <xdr:colOff>38100</xdr:colOff>
      <xdr:row>40</xdr:row>
      <xdr:rowOff>123825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6397D90-FE1E-4034-8444-C3A43B9AAD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57124D96-B4AF-498E-8B31-406D34EBAC6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5400675" cy="3171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F07EE6A8-8B64-4E63-8F75-B708A3A9491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5400675" cy="3171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F033A123-1815-47B3-B981-08194612D26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5400675" cy="3171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EEA06D19-2121-4C76-9379-AE2957DA5D4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5400675" cy="3171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8FDFE414-E12A-4FC7-98C9-3FDA404753E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5400675" cy="3171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CEF15042-5080-4650-8A42-B666184EAC5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5400675" cy="3171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6D00BE83-0F51-43D3-B70A-2579395000C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5400675" cy="3171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8AE1C2E3-3340-45C6-84CB-3301D94D69D2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5400675" cy="3171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2D067E1D-F100-422B-ACA1-3883555F6AF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5400675" cy="3171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9E856BFA-F58B-4B46-A02B-9A49D7A25CC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5400675" cy="3171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4DBD7C2D-2BA9-46E8-AF08-8CD82C48DB76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E62CB101-554A-49EF-99CD-47AFB5D25556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962F9553-0BE8-4760-A8A2-09002459AFB3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F04BF525-A329-42E6-91F9-136184209F14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2969B729-0BB5-487E-BCDA-2D1B48258A93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A7B0A938-3C02-4499-83EF-2AF35ABFDF1B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9C636FE6-82CD-496F-BB86-42BB32CF20F0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365BDE68-4632-493B-B51D-150C24BAE8D2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FBCEC938-9713-4739-ADF2-ED33F427C5E3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A1D7879E-21D6-4963-92C2-6D6B3B59C0B6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87E7EDB-1951-4371-990A-BF340F6B44A1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ABD1E88A-0865-44F2-A8DF-0CA473E5E110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FA89D915-9C44-4B33-8CB4-ADB58B4D4FDE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C4373BA0-1D31-4C5B-BF16-8B8F5ACD28E5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48E1480E-D90C-4154-B3BA-1936668189C4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E9A9197-4391-4115-9224-FAAE38DFF879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F7E76F7E-A68F-435F-BBE3-6D790074FD73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A2D039E8-15E5-4EE9-BC35-28EEBE4B3846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6110335-B2C3-4469-B4F6-5D1DBFF8540D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55B926E1-291D-4F38-9E1C-3CDDB1BBD683}"/>
            </a:ext>
          </a:extLst>
        </xdr:cNvPr>
        <xdr:cNvSpPr>
          <a:spLocks noChangeArrowheads="1"/>
        </xdr:cNvSpPr>
      </xdr:nvSpPr>
      <xdr:spPr bwMode="auto">
        <a:xfrm>
          <a:off x="0" y="171450"/>
          <a:ext cx="5781675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365D13AE-4967-456E-9A44-903B9E4C0C77}"/>
            </a:ext>
          </a:extLst>
        </xdr:cNvPr>
        <xdr:cNvSpPr>
          <a:spLocks noChangeArrowheads="1"/>
        </xdr:cNvSpPr>
      </xdr:nvSpPr>
      <xdr:spPr bwMode="auto">
        <a:xfrm>
          <a:off x="0" y="165100"/>
          <a:ext cx="6019800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16EFD126-2F84-4C47-9267-390FB37A56A4}"/>
            </a:ext>
          </a:extLst>
        </xdr:cNvPr>
        <xdr:cNvSpPr>
          <a:spLocks noChangeArrowheads="1"/>
        </xdr:cNvSpPr>
      </xdr:nvSpPr>
      <xdr:spPr bwMode="auto">
        <a:xfrm>
          <a:off x="0" y="165100"/>
          <a:ext cx="6019800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4B0D6E9B-5789-4AD0-AE30-4185A75D5DD3}"/>
            </a:ext>
          </a:extLst>
        </xdr:cNvPr>
        <xdr:cNvSpPr>
          <a:spLocks noChangeArrowheads="1"/>
        </xdr:cNvSpPr>
      </xdr:nvSpPr>
      <xdr:spPr bwMode="auto">
        <a:xfrm>
          <a:off x="0" y="165100"/>
          <a:ext cx="6019800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D69E6CBD-60A8-4406-AAA4-5A89BA73F545}"/>
            </a:ext>
          </a:extLst>
        </xdr:cNvPr>
        <xdr:cNvSpPr>
          <a:spLocks noChangeArrowheads="1"/>
        </xdr:cNvSpPr>
      </xdr:nvSpPr>
      <xdr:spPr bwMode="auto">
        <a:xfrm>
          <a:off x="0" y="165100"/>
          <a:ext cx="6019800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E59EB00-3636-4AD2-9165-752A59B9E5EA}"/>
            </a:ext>
          </a:extLst>
        </xdr:cNvPr>
        <xdr:cNvSpPr>
          <a:spLocks noChangeArrowheads="1"/>
        </xdr:cNvSpPr>
      </xdr:nvSpPr>
      <xdr:spPr bwMode="auto">
        <a:xfrm>
          <a:off x="0" y="165100"/>
          <a:ext cx="6019800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461CD24B-2036-4B2A-A9C6-C813FE2101D9}"/>
            </a:ext>
          </a:extLst>
        </xdr:cNvPr>
        <xdr:cNvSpPr>
          <a:spLocks noChangeArrowheads="1"/>
        </xdr:cNvSpPr>
      </xdr:nvSpPr>
      <xdr:spPr bwMode="auto">
        <a:xfrm>
          <a:off x="0" y="165100"/>
          <a:ext cx="6019800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CC4F15E0-88F8-470E-B64B-A838440042DB}"/>
            </a:ext>
          </a:extLst>
        </xdr:cNvPr>
        <xdr:cNvSpPr>
          <a:spLocks noChangeArrowheads="1"/>
        </xdr:cNvSpPr>
      </xdr:nvSpPr>
      <xdr:spPr bwMode="auto">
        <a:xfrm>
          <a:off x="0" y="165100"/>
          <a:ext cx="6019800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A2F933E-9B42-4D35-AD83-68076BC19587}"/>
            </a:ext>
          </a:extLst>
        </xdr:cNvPr>
        <xdr:cNvSpPr>
          <a:spLocks noChangeArrowheads="1"/>
        </xdr:cNvSpPr>
      </xdr:nvSpPr>
      <xdr:spPr bwMode="auto">
        <a:xfrm>
          <a:off x="0" y="165100"/>
          <a:ext cx="6019800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FD5387-105B-4298-9353-190BAFB73DF5}"/>
            </a:ext>
          </a:extLst>
        </xdr:cNvPr>
        <xdr:cNvSpPr>
          <a:spLocks noChangeArrowheads="1"/>
        </xdr:cNvSpPr>
      </xdr:nvSpPr>
      <xdr:spPr bwMode="auto">
        <a:xfrm>
          <a:off x="0" y="165100"/>
          <a:ext cx="6019800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8</xdr:col>
      <xdr:colOff>685800</xdr:colOff>
      <xdr:row>19</xdr:row>
      <xdr:rowOff>19050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88D361AA-7E9A-471B-8B7E-F5FE36BF8EA2}"/>
            </a:ext>
          </a:extLst>
        </xdr:cNvPr>
        <xdr:cNvSpPr>
          <a:spLocks noChangeArrowheads="1"/>
        </xdr:cNvSpPr>
      </xdr:nvSpPr>
      <xdr:spPr bwMode="auto">
        <a:xfrm>
          <a:off x="0" y="165100"/>
          <a:ext cx="6019800" cy="32004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robinboncoeur.github.io/appmgr/RSTs/TxnTr09.html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259">
    <tabColor rgb="FFA9D18E"/>
  </sheetPr>
  <dimension ref="A1:R368"/>
  <sheetViews>
    <sheetView showGridLines="0" tabSelected="1" zoomScaleNormal="100" workbookViewId="0">
      <pane ySplit="1" topLeftCell="A2" activePane="bottomLeft" state="frozen"/>
      <selection pane="bottomLeft" activeCell="A2" sqref="A2"/>
    </sheetView>
  </sheetViews>
  <sheetFormatPr defaultColWidth="8.42578125" defaultRowHeight="12.75" x14ac:dyDescent="0.2"/>
  <cols>
    <col min="1" max="1" width="11.140625" style="52" customWidth="1"/>
    <col min="2" max="2" width="12" style="18" customWidth="1"/>
    <col min="3" max="3" width="50.7109375" customWidth="1"/>
    <col min="4" max="4" width="11.140625" customWidth="1"/>
    <col min="5" max="5" width="3.42578125" customWidth="1"/>
    <col min="6" max="6" width="3" customWidth="1"/>
    <col min="7" max="7" width="79" customWidth="1"/>
    <col min="8" max="8" width="11.140625" customWidth="1"/>
    <col min="9" max="9" width="5.5703125" customWidth="1"/>
    <col min="10" max="10" width="9.85546875" customWidth="1"/>
    <col min="11" max="11" width="7.140625" customWidth="1"/>
    <col min="12" max="12" width="111" customWidth="1"/>
  </cols>
  <sheetData>
    <row r="1" spans="1:18" ht="15" x14ac:dyDescent="0.25">
      <c r="A1" s="53" t="s">
        <v>1</v>
      </c>
      <c r="B1" s="36" t="s">
        <v>2</v>
      </c>
      <c r="C1" s="37" t="s">
        <v>94</v>
      </c>
      <c r="D1" s="37" t="s">
        <v>15</v>
      </c>
      <c r="E1" s="35"/>
      <c r="F1" s="34"/>
      <c r="G1" s="92" t="s">
        <v>37</v>
      </c>
      <c r="H1" s="111" t="s">
        <v>56</v>
      </c>
      <c r="I1" s="102">
        <f>(COUNTA(A1:A1932) - (COUNTA(D1:D1932)))</f>
        <v>0</v>
      </c>
      <c r="J1" s="25"/>
      <c r="K1" s="25"/>
      <c r="L1" s="25"/>
      <c r="M1" s="25"/>
      <c r="N1" s="25"/>
      <c r="O1" s="25"/>
      <c r="P1" s="25"/>
      <c r="Q1" s="25"/>
      <c r="R1" s="25"/>
    </row>
    <row r="2" spans="1:18" x14ac:dyDescent="0.2">
      <c r="A2" s="14"/>
      <c r="B2" s="26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</row>
    <row r="3" spans="1:18" x14ac:dyDescent="0.2">
      <c r="A3" s="14"/>
      <c r="B3" s="26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</row>
    <row r="4" spans="1:18" x14ac:dyDescent="0.2">
      <c r="A4" s="14"/>
      <c r="B4" s="26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</row>
    <row r="5" spans="1:18" x14ac:dyDescent="0.2">
      <c r="A5" s="14"/>
      <c r="B5" s="26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</row>
    <row r="6" spans="1:18" x14ac:dyDescent="0.2">
      <c r="A6" s="14"/>
      <c r="B6" s="26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</row>
    <row r="7" spans="1:18" x14ac:dyDescent="0.2">
      <c r="A7" s="14"/>
      <c r="B7" s="26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</row>
    <row r="8" spans="1:18" x14ac:dyDescent="0.2">
      <c r="A8" s="14"/>
      <c r="B8" s="26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spans="1:18" x14ac:dyDescent="0.2">
      <c r="A9" s="14"/>
      <c r="B9" s="26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</row>
    <row r="10" spans="1:18" x14ac:dyDescent="0.2">
      <c r="A10" s="14"/>
      <c r="B10" s="26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</row>
    <row r="11" spans="1:18" x14ac:dyDescent="0.2">
      <c r="A11" s="14"/>
      <c r="B11" s="26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</row>
    <row r="12" spans="1:18" x14ac:dyDescent="0.2">
      <c r="A12" s="14"/>
      <c r="B12" s="26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</row>
    <row r="13" spans="1:18" x14ac:dyDescent="0.2">
      <c r="A13" s="14"/>
      <c r="B13" s="26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1:18" x14ac:dyDescent="0.2">
      <c r="A14" s="14"/>
      <c r="B14" s="26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</row>
    <row r="15" spans="1:18" x14ac:dyDescent="0.2">
      <c r="A15" s="14"/>
      <c r="B15" s="26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</row>
    <row r="16" spans="1:18" x14ac:dyDescent="0.2">
      <c r="A16" s="14"/>
      <c r="B16" s="26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</row>
    <row r="17" spans="1:18" x14ac:dyDescent="0.2">
      <c r="A17" s="14"/>
      <c r="B17" s="26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</row>
    <row r="18" spans="1:18" x14ac:dyDescent="0.2">
      <c r="A18" s="14"/>
      <c r="B18" s="26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</row>
    <row r="19" spans="1:18" x14ac:dyDescent="0.2">
      <c r="A19" s="14"/>
      <c r="B19" s="26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</row>
    <row r="20" spans="1:18" x14ac:dyDescent="0.2">
      <c r="A20" s="14"/>
      <c r="B20" s="26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</row>
    <row r="21" spans="1:18" x14ac:dyDescent="0.2">
      <c r="A21" s="14"/>
      <c r="B21" s="26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</row>
    <row r="22" spans="1:18" x14ac:dyDescent="0.2">
      <c r="A22" s="14"/>
      <c r="B22" s="26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</row>
    <row r="23" spans="1:18" x14ac:dyDescent="0.2">
      <c r="A23" s="14"/>
      <c r="B23" s="26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</row>
    <row r="24" spans="1:18" x14ac:dyDescent="0.2">
      <c r="A24" s="14"/>
      <c r="B24" s="26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</row>
    <row r="25" spans="1:18" x14ac:dyDescent="0.2">
      <c r="A25" s="14"/>
      <c r="B25" s="26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</row>
    <row r="26" spans="1:18" x14ac:dyDescent="0.2">
      <c r="A26" s="14"/>
      <c r="B26" s="26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</row>
    <row r="27" spans="1:18" x14ac:dyDescent="0.2">
      <c r="A27" s="14"/>
      <c r="B27" s="26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</row>
    <row r="28" spans="1:18" x14ac:dyDescent="0.2">
      <c r="A28" s="14"/>
      <c r="B28" s="26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</row>
    <row r="29" spans="1:18" x14ac:dyDescent="0.2">
      <c r="A29" s="14"/>
      <c r="B29" s="26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</row>
    <row r="30" spans="1:18" x14ac:dyDescent="0.2">
      <c r="A30" s="14"/>
      <c r="B30" s="26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</row>
    <row r="31" spans="1:18" x14ac:dyDescent="0.2">
      <c r="A31" s="14"/>
      <c r="B31" s="26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</row>
    <row r="32" spans="1:18" x14ac:dyDescent="0.2">
      <c r="A32" s="14"/>
      <c r="B32" s="26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</row>
    <row r="33" spans="1:18" x14ac:dyDescent="0.2">
      <c r="A33" s="14"/>
      <c r="B33" s="26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</row>
    <row r="34" spans="1:18" x14ac:dyDescent="0.2">
      <c r="A34" s="14"/>
      <c r="B34" s="26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</row>
    <row r="35" spans="1:18" x14ac:dyDescent="0.2">
      <c r="A35" s="14"/>
      <c r="B35" s="26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</row>
    <row r="36" spans="1:18" x14ac:dyDescent="0.2">
      <c r="A36" s="121"/>
      <c r="B36" s="122"/>
      <c r="C36" s="47"/>
      <c r="D36" s="47"/>
      <c r="E36" s="47"/>
      <c r="F36" s="47"/>
      <c r="G36" s="47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</row>
    <row r="37" spans="1:18" x14ac:dyDescent="0.2">
      <c r="A37" s="14"/>
      <c r="B37" s="26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</row>
    <row r="38" spans="1:18" x14ac:dyDescent="0.2">
      <c r="A38" s="14"/>
      <c r="B38" s="26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</row>
    <row r="39" spans="1:18" x14ac:dyDescent="0.2">
      <c r="A39" s="14"/>
      <c r="B39" s="26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</row>
    <row r="40" spans="1:18" x14ac:dyDescent="0.2">
      <c r="A40" s="14"/>
      <c r="B40" s="26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</row>
    <row r="41" spans="1:18" x14ac:dyDescent="0.2">
      <c r="A41" s="14"/>
      <c r="B41" s="26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</row>
    <row r="42" spans="1:18" x14ac:dyDescent="0.2">
      <c r="A42" s="14"/>
      <c r="B42" s="26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</row>
    <row r="43" spans="1:18" x14ac:dyDescent="0.2">
      <c r="A43" s="14"/>
      <c r="B43" s="26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</row>
    <row r="44" spans="1:18" x14ac:dyDescent="0.2">
      <c r="A44" s="14"/>
      <c r="B44" s="26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</row>
    <row r="45" spans="1:18" x14ac:dyDescent="0.2">
      <c r="A45" s="14"/>
      <c r="B45" s="26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</row>
    <row r="46" spans="1:18" x14ac:dyDescent="0.2">
      <c r="A46" s="14"/>
      <c r="B46" s="26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</row>
    <row r="47" spans="1:18" x14ac:dyDescent="0.2">
      <c r="A47" s="14"/>
      <c r="B47" s="26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</row>
    <row r="48" spans="1:18" x14ac:dyDescent="0.2">
      <c r="A48" s="14"/>
      <c r="B48" s="26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</row>
    <row r="49" spans="1:18" x14ac:dyDescent="0.2">
      <c r="A49" s="14"/>
      <c r="B49" s="26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</row>
    <row r="50" spans="1:18" x14ac:dyDescent="0.2">
      <c r="A50" s="14"/>
      <c r="B50" s="26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</row>
    <row r="51" spans="1:18" x14ac:dyDescent="0.2">
      <c r="A51" s="14"/>
      <c r="B51" s="26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</row>
    <row r="52" spans="1:18" x14ac:dyDescent="0.2">
      <c r="A52" s="14"/>
      <c r="B52" s="26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1:18" x14ac:dyDescent="0.2">
      <c r="A53" s="14"/>
      <c r="B53" s="26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</row>
    <row r="54" spans="1:18" x14ac:dyDescent="0.2">
      <c r="A54" s="14"/>
      <c r="B54" s="26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</row>
    <row r="55" spans="1:18" x14ac:dyDescent="0.2">
      <c r="A55" s="14"/>
      <c r="B55" s="26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</row>
    <row r="56" spans="1:18" x14ac:dyDescent="0.2">
      <c r="A56" s="14"/>
      <c r="B56" s="26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</row>
    <row r="57" spans="1:18" x14ac:dyDescent="0.2">
      <c r="A57" s="14"/>
      <c r="B57" s="26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</row>
    <row r="58" spans="1:18" x14ac:dyDescent="0.2">
      <c r="A58" s="14"/>
      <c r="B58" s="26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</row>
    <row r="59" spans="1:18" x14ac:dyDescent="0.2">
      <c r="A59" s="14"/>
      <c r="B59" s="26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</row>
    <row r="60" spans="1:18" x14ac:dyDescent="0.2">
      <c r="A60" s="14"/>
      <c r="B60" s="26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</row>
    <row r="61" spans="1:18" x14ac:dyDescent="0.2">
      <c r="A61" s="14"/>
      <c r="B61" s="26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</row>
    <row r="62" spans="1:18" x14ac:dyDescent="0.2">
      <c r="A62" s="14"/>
      <c r="B62" s="26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</row>
    <row r="63" spans="1:18" x14ac:dyDescent="0.2">
      <c r="A63" s="14"/>
      <c r="B63" s="26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</row>
    <row r="64" spans="1:18" x14ac:dyDescent="0.2">
      <c r="A64" s="14"/>
      <c r="B64" s="26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</row>
    <row r="65" spans="1:18" x14ac:dyDescent="0.2">
      <c r="A65" s="14"/>
      <c r="B65" s="26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</row>
    <row r="66" spans="1:18" x14ac:dyDescent="0.2">
      <c r="A66" s="14"/>
      <c r="B66" s="26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</row>
    <row r="67" spans="1:18" x14ac:dyDescent="0.2">
      <c r="A67" s="14"/>
      <c r="B67" s="26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</row>
    <row r="68" spans="1:18" x14ac:dyDescent="0.2">
      <c r="A68" s="14"/>
      <c r="B68" s="26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</row>
    <row r="69" spans="1:18" x14ac:dyDescent="0.2">
      <c r="A69" s="14"/>
      <c r="B69" s="26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</row>
    <row r="70" spans="1:18" x14ac:dyDescent="0.2">
      <c r="A70" s="14"/>
      <c r="B70" s="26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</row>
    <row r="71" spans="1:18" x14ac:dyDescent="0.2">
      <c r="A71" s="14"/>
      <c r="B71" s="26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</row>
    <row r="72" spans="1:18" x14ac:dyDescent="0.2">
      <c r="A72" s="14"/>
      <c r="B72" s="26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</row>
    <row r="73" spans="1:18" x14ac:dyDescent="0.2">
      <c r="A73" s="14"/>
      <c r="B73" s="26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</row>
    <row r="74" spans="1:18" x14ac:dyDescent="0.2">
      <c r="A74" s="14"/>
      <c r="B74" s="26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</row>
    <row r="75" spans="1:18" x14ac:dyDescent="0.2">
      <c r="A75" s="14"/>
      <c r="B75" s="26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</row>
    <row r="76" spans="1:18" x14ac:dyDescent="0.2">
      <c r="A76" s="14"/>
      <c r="B76" s="26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</row>
    <row r="77" spans="1:18" x14ac:dyDescent="0.2">
      <c r="A77" s="14"/>
      <c r="B77" s="26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</row>
    <row r="78" spans="1:18" x14ac:dyDescent="0.2">
      <c r="A78" s="14"/>
      <c r="B78" s="26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</row>
    <row r="79" spans="1:18" x14ac:dyDescent="0.2">
      <c r="A79" s="14"/>
      <c r="B79" s="26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</row>
    <row r="80" spans="1:18" x14ac:dyDescent="0.2">
      <c r="A80" s="14"/>
      <c r="B80" s="26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</row>
    <row r="81" spans="1:18" x14ac:dyDescent="0.2">
      <c r="A81" s="14"/>
      <c r="B81" s="26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</row>
    <row r="82" spans="1:18" x14ac:dyDescent="0.2">
      <c r="A82" s="14"/>
      <c r="B82" s="26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</row>
    <row r="83" spans="1:18" x14ac:dyDescent="0.2">
      <c r="A83" s="14"/>
      <c r="B83" s="26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</row>
    <row r="84" spans="1:18" x14ac:dyDescent="0.2">
      <c r="A84" s="14"/>
      <c r="B84" s="26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</row>
    <row r="85" spans="1:18" x14ac:dyDescent="0.2">
      <c r="A85" s="14"/>
      <c r="B85" s="26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</row>
    <row r="86" spans="1:18" x14ac:dyDescent="0.2">
      <c r="A86" s="14"/>
      <c r="B86" s="26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1:18" x14ac:dyDescent="0.2">
      <c r="A87" s="14"/>
      <c r="B87" s="26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x14ac:dyDescent="0.2">
      <c r="A88" s="14"/>
      <c r="B88" s="26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1:18" x14ac:dyDescent="0.2">
      <c r="A89" s="14"/>
      <c r="B89" s="26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</row>
    <row r="90" spans="1:18" x14ac:dyDescent="0.2">
      <c r="A90" s="14"/>
      <c r="B90" s="26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</row>
    <row r="91" spans="1:18" x14ac:dyDescent="0.2">
      <c r="A91" s="14"/>
      <c r="B91" s="26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</row>
    <row r="92" spans="1:18" x14ac:dyDescent="0.2">
      <c r="A92" s="14"/>
      <c r="B92" s="26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1:18" x14ac:dyDescent="0.2">
      <c r="A93" s="14"/>
      <c r="B93" s="26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</row>
    <row r="94" spans="1:18" x14ac:dyDescent="0.2">
      <c r="A94" s="14"/>
      <c r="B94" s="26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</row>
    <row r="95" spans="1:18" x14ac:dyDescent="0.2">
      <c r="A95" s="14"/>
      <c r="B95" s="26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1:18" x14ac:dyDescent="0.2">
      <c r="A96" s="14"/>
      <c r="B96" s="26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1:18" x14ac:dyDescent="0.2">
      <c r="A97" s="14"/>
      <c r="B97" s="26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1:18" x14ac:dyDescent="0.2">
      <c r="A98" s="14"/>
      <c r="B98" s="26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</row>
    <row r="99" spans="1:18" x14ac:dyDescent="0.2">
      <c r="A99" s="14"/>
      <c r="B99" s="26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</row>
    <row r="100" spans="1:18" x14ac:dyDescent="0.2">
      <c r="A100" s="14"/>
      <c r="B100" s="26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</row>
    <row r="101" spans="1:18" x14ac:dyDescent="0.2">
      <c r="A101" s="14"/>
      <c r="B101" s="26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</row>
    <row r="102" spans="1:18" x14ac:dyDescent="0.2">
      <c r="A102" s="14"/>
      <c r="B102" s="26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1:18" x14ac:dyDescent="0.2">
      <c r="A103" s="14"/>
      <c r="B103" s="26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</row>
    <row r="104" spans="1:18" x14ac:dyDescent="0.2">
      <c r="A104" s="14"/>
      <c r="B104" s="26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</row>
    <row r="105" spans="1:18" x14ac:dyDescent="0.2">
      <c r="A105" s="14"/>
      <c r="B105" s="26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</row>
    <row r="106" spans="1:18" x14ac:dyDescent="0.2">
      <c r="A106" s="14"/>
      <c r="B106" s="26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</row>
    <row r="107" spans="1:18" x14ac:dyDescent="0.2">
      <c r="A107" s="14"/>
      <c r="B107" s="26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1:18" x14ac:dyDescent="0.2">
      <c r="A108" s="14"/>
      <c r="B108" s="26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1:18" x14ac:dyDescent="0.2">
      <c r="A109" s="14"/>
      <c r="B109" s="26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</row>
    <row r="110" spans="1:18" x14ac:dyDescent="0.2">
      <c r="A110" s="14"/>
      <c r="B110" s="26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</row>
    <row r="111" spans="1:18" x14ac:dyDescent="0.2">
      <c r="A111" s="14"/>
      <c r="B111" s="26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</row>
    <row r="112" spans="1:18" x14ac:dyDescent="0.2">
      <c r="A112" s="14"/>
      <c r="B112" s="26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</row>
    <row r="113" spans="1:18" x14ac:dyDescent="0.2">
      <c r="A113" s="14"/>
      <c r="B113" s="26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</row>
    <row r="114" spans="1:18" x14ac:dyDescent="0.2">
      <c r="A114" s="14"/>
      <c r="B114" s="26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</row>
    <row r="115" spans="1:18" x14ac:dyDescent="0.2">
      <c r="A115" s="14"/>
      <c r="B115" s="26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</row>
    <row r="116" spans="1:18" x14ac:dyDescent="0.2">
      <c r="A116" s="14"/>
      <c r="B116" s="26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1:18" x14ac:dyDescent="0.2">
      <c r="A117" s="14"/>
      <c r="B117" s="26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1:18" x14ac:dyDescent="0.2">
      <c r="A118" s="14"/>
      <c r="B118" s="26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</row>
    <row r="119" spans="1:18" x14ac:dyDescent="0.2">
      <c r="A119" s="14"/>
      <c r="B119" s="26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1:18" x14ac:dyDescent="0.2">
      <c r="A120" s="14"/>
      <c r="B120" s="26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</row>
    <row r="121" spans="1:18" x14ac:dyDescent="0.2">
      <c r="A121" s="14"/>
      <c r="B121" s="26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</row>
    <row r="122" spans="1:18" x14ac:dyDescent="0.2">
      <c r="A122" s="14"/>
      <c r="B122" s="26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</row>
    <row r="123" spans="1:18" x14ac:dyDescent="0.2">
      <c r="A123" s="14"/>
      <c r="B123" s="26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1:18" x14ac:dyDescent="0.2">
      <c r="A124" s="14"/>
      <c r="B124" s="26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1:18" x14ac:dyDescent="0.2">
      <c r="A125" s="14"/>
      <c r="B125" s="26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1:18" x14ac:dyDescent="0.2">
      <c r="A126" s="14"/>
      <c r="B126" s="26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</row>
    <row r="127" spans="1:18" x14ac:dyDescent="0.2">
      <c r="A127" s="14"/>
      <c r="B127" s="26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</row>
    <row r="128" spans="1:18" x14ac:dyDescent="0.2">
      <c r="A128" s="14"/>
      <c r="B128" s="26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</row>
    <row r="129" spans="1:18" x14ac:dyDescent="0.2">
      <c r="A129" s="14"/>
      <c r="B129" s="26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</row>
    <row r="130" spans="1:18" x14ac:dyDescent="0.2">
      <c r="A130" s="14"/>
      <c r="B130" s="26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</row>
    <row r="131" spans="1:18" x14ac:dyDescent="0.2">
      <c r="A131" s="14"/>
      <c r="B131" s="26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</row>
    <row r="132" spans="1:18" x14ac:dyDescent="0.2">
      <c r="A132" s="14"/>
      <c r="B132" s="26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1:18" x14ac:dyDescent="0.2">
      <c r="A133" s="14"/>
      <c r="B133" s="26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</row>
    <row r="134" spans="1:18" x14ac:dyDescent="0.2">
      <c r="A134" s="14"/>
      <c r="B134" s="26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</row>
    <row r="135" spans="1:18" x14ac:dyDescent="0.2">
      <c r="A135" s="14"/>
      <c r="B135" s="26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1:18" x14ac:dyDescent="0.2">
      <c r="A136" s="14"/>
      <c r="B136" s="26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1:18" x14ac:dyDescent="0.2">
      <c r="A137" s="14"/>
      <c r="B137" s="26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1:18" x14ac:dyDescent="0.2">
      <c r="A138" s="14"/>
      <c r="B138" s="26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1:18" x14ac:dyDescent="0.2">
      <c r="A139" s="14"/>
      <c r="B139" s="26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</row>
    <row r="140" spans="1:18" x14ac:dyDescent="0.2">
      <c r="A140" s="14"/>
      <c r="B140" s="26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1:18" x14ac:dyDescent="0.2">
      <c r="A141" s="14"/>
      <c r="B141" s="26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1:18" x14ac:dyDescent="0.2">
      <c r="A142" s="14"/>
      <c r="B142" s="26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</row>
    <row r="143" spans="1:18" x14ac:dyDescent="0.2">
      <c r="A143" s="14"/>
      <c r="B143" s="26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1:18" x14ac:dyDescent="0.2">
      <c r="A144" s="14"/>
      <c r="B144" s="26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</row>
    <row r="145" spans="1:18" x14ac:dyDescent="0.2">
      <c r="A145" s="14"/>
      <c r="B145" s="26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1:18" x14ac:dyDescent="0.2">
      <c r="A146" s="14"/>
      <c r="B146" s="26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</row>
    <row r="147" spans="1:18" x14ac:dyDescent="0.2">
      <c r="A147" s="14"/>
      <c r="B147" s="26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1:18" x14ac:dyDescent="0.2">
      <c r="A148" s="14"/>
      <c r="B148" s="26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1:18" x14ac:dyDescent="0.2">
      <c r="A149" s="14"/>
      <c r="B149" s="26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1:18" x14ac:dyDescent="0.2">
      <c r="A150" s="14"/>
      <c r="B150" s="26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</row>
    <row r="151" spans="1:18" x14ac:dyDescent="0.2">
      <c r="A151" s="14"/>
      <c r="B151" s="26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1:18" x14ac:dyDescent="0.2">
      <c r="A152" s="14"/>
      <c r="B152" s="26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1:18" x14ac:dyDescent="0.2">
      <c r="A153" s="14"/>
      <c r="B153" s="26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</row>
    <row r="154" spans="1:18" x14ac:dyDescent="0.2">
      <c r="A154" s="14"/>
      <c r="B154" s="26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1:18" x14ac:dyDescent="0.2">
      <c r="A155" s="14"/>
      <c r="B155" s="26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</row>
    <row r="156" spans="1:18" x14ac:dyDescent="0.2">
      <c r="A156" s="14"/>
      <c r="B156" s="26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</row>
    <row r="157" spans="1:18" x14ac:dyDescent="0.2">
      <c r="A157" s="14"/>
      <c r="B157" s="26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</row>
    <row r="158" spans="1:18" x14ac:dyDescent="0.2">
      <c r="A158" s="14"/>
      <c r="B158" s="26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</row>
    <row r="159" spans="1:18" x14ac:dyDescent="0.2">
      <c r="A159" s="14"/>
      <c r="B159" s="26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</row>
    <row r="160" spans="1:18" x14ac:dyDescent="0.2">
      <c r="A160" s="14"/>
      <c r="B160" s="26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</row>
    <row r="161" spans="1:18" x14ac:dyDescent="0.2">
      <c r="A161" s="14"/>
      <c r="B161" s="26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</row>
    <row r="162" spans="1:18" x14ac:dyDescent="0.2">
      <c r="A162" s="14"/>
      <c r="B162" s="26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</row>
    <row r="163" spans="1:18" x14ac:dyDescent="0.2">
      <c r="A163" s="14"/>
      <c r="B163" s="26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</row>
    <row r="164" spans="1:18" x14ac:dyDescent="0.2">
      <c r="A164" s="14"/>
      <c r="B164" s="26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</row>
    <row r="165" spans="1:18" x14ac:dyDescent="0.2">
      <c r="A165" s="14"/>
      <c r="B165" s="26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</row>
    <row r="166" spans="1:18" x14ac:dyDescent="0.2">
      <c r="A166" s="14"/>
      <c r="B166" s="26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</row>
    <row r="167" spans="1:18" x14ac:dyDescent="0.2">
      <c r="A167" s="14"/>
      <c r="B167" s="26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</row>
    <row r="168" spans="1:18" x14ac:dyDescent="0.2">
      <c r="A168" s="14"/>
      <c r="B168" s="26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</row>
    <row r="169" spans="1:18" x14ac:dyDescent="0.2">
      <c r="A169" s="14"/>
      <c r="B169" s="26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</row>
    <row r="170" spans="1:18" x14ac:dyDescent="0.2">
      <c r="A170" s="14"/>
      <c r="B170" s="26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</row>
    <row r="171" spans="1:18" x14ac:dyDescent="0.2">
      <c r="A171" s="14"/>
      <c r="B171" s="26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</row>
    <row r="172" spans="1:18" x14ac:dyDescent="0.2">
      <c r="A172" s="14"/>
      <c r="B172" s="26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</row>
    <row r="173" spans="1:18" x14ac:dyDescent="0.2">
      <c r="A173" s="14"/>
      <c r="B173" s="26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</row>
    <row r="174" spans="1:18" x14ac:dyDescent="0.2">
      <c r="A174" s="14"/>
      <c r="B174" s="26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</row>
    <row r="175" spans="1:18" x14ac:dyDescent="0.2">
      <c r="A175" s="14"/>
      <c r="B175" s="26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</row>
    <row r="176" spans="1:18" x14ac:dyDescent="0.2">
      <c r="A176" s="14"/>
      <c r="B176" s="26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</row>
    <row r="177" spans="1:18" x14ac:dyDescent="0.2">
      <c r="A177" s="14"/>
      <c r="B177" s="26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</row>
    <row r="178" spans="1:18" x14ac:dyDescent="0.2">
      <c r="A178" s="14"/>
      <c r="B178" s="26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</row>
    <row r="179" spans="1:18" x14ac:dyDescent="0.2">
      <c r="A179" s="14"/>
      <c r="B179" s="26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</row>
    <row r="180" spans="1:18" x14ac:dyDescent="0.2">
      <c r="A180" s="14"/>
      <c r="B180" s="26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</row>
    <row r="181" spans="1:18" x14ac:dyDescent="0.2">
      <c r="A181" s="14"/>
      <c r="B181" s="26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</row>
    <row r="182" spans="1:18" x14ac:dyDescent="0.2">
      <c r="A182" s="14"/>
      <c r="B182" s="26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</row>
    <row r="183" spans="1:18" x14ac:dyDescent="0.2">
      <c r="A183" s="14"/>
      <c r="B183" s="26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</row>
    <row r="184" spans="1:18" x14ac:dyDescent="0.2">
      <c r="A184" s="14"/>
      <c r="B184" s="26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</row>
    <row r="185" spans="1:18" x14ac:dyDescent="0.2">
      <c r="A185" s="14"/>
      <c r="B185" s="26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</row>
    <row r="186" spans="1:18" x14ac:dyDescent="0.2">
      <c r="A186" s="14"/>
      <c r="B186" s="26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</row>
    <row r="187" spans="1:18" x14ac:dyDescent="0.2">
      <c r="A187" s="14"/>
      <c r="B187" s="26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</row>
    <row r="188" spans="1:18" x14ac:dyDescent="0.2">
      <c r="A188" s="14"/>
      <c r="B188" s="26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</row>
    <row r="189" spans="1:18" x14ac:dyDescent="0.2">
      <c r="A189" s="14"/>
      <c r="B189" s="26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</row>
    <row r="190" spans="1:18" x14ac:dyDescent="0.2">
      <c r="A190" s="14"/>
      <c r="B190" s="26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</row>
    <row r="191" spans="1:18" x14ac:dyDescent="0.2">
      <c r="A191" s="14"/>
      <c r="B191" s="26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</row>
    <row r="192" spans="1:18" x14ac:dyDescent="0.2">
      <c r="A192" s="14"/>
      <c r="B192" s="26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</row>
    <row r="193" spans="1:18" x14ac:dyDescent="0.2">
      <c r="A193" s="14"/>
      <c r="B193" s="26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</row>
    <row r="194" spans="1:18" x14ac:dyDescent="0.2">
      <c r="A194" s="14"/>
      <c r="B194" s="26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</row>
    <row r="195" spans="1:18" x14ac:dyDescent="0.2">
      <c r="A195" s="14"/>
      <c r="B195" s="26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</row>
    <row r="196" spans="1:18" x14ac:dyDescent="0.2">
      <c r="A196" s="14"/>
      <c r="B196" s="26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</row>
    <row r="197" spans="1:18" x14ac:dyDescent="0.2">
      <c r="A197" s="14"/>
      <c r="B197" s="26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</row>
    <row r="198" spans="1:18" x14ac:dyDescent="0.2">
      <c r="A198" s="14"/>
      <c r="B198" s="26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</row>
    <row r="199" spans="1:18" x14ac:dyDescent="0.2">
      <c r="A199" s="14"/>
      <c r="B199" s="26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</row>
    <row r="200" spans="1:18" x14ac:dyDescent="0.2">
      <c r="A200" s="14"/>
      <c r="B200" s="26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</row>
    <row r="201" spans="1:18" x14ac:dyDescent="0.2">
      <c r="A201" s="14"/>
      <c r="B201" s="26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</row>
    <row r="202" spans="1:18" x14ac:dyDescent="0.2">
      <c r="A202" s="14"/>
      <c r="B202" s="26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</row>
    <row r="203" spans="1:18" x14ac:dyDescent="0.2">
      <c r="A203" s="14"/>
      <c r="B203" s="26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</row>
    <row r="204" spans="1:18" x14ac:dyDescent="0.2">
      <c r="A204" s="14"/>
      <c r="B204" s="26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</row>
    <row r="205" spans="1:18" x14ac:dyDescent="0.2">
      <c r="A205" s="14"/>
      <c r="B205" s="26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</row>
    <row r="206" spans="1:18" x14ac:dyDescent="0.2">
      <c r="A206" s="14"/>
      <c r="B206" s="26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</row>
    <row r="207" spans="1:18" x14ac:dyDescent="0.2">
      <c r="A207" s="14"/>
      <c r="B207" s="26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</row>
    <row r="208" spans="1:18" x14ac:dyDescent="0.2">
      <c r="A208" s="14"/>
      <c r="B208" s="26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</row>
    <row r="209" spans="1:18" x14ac:dyDescent="0.2">
      <c r="A209" s="14"/>
      <c r="B209" s="26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</row>
    <row r="210" spans="1:18" x14ac:dyDescent="0.2">
      <c r="A210" s="14"/>
      <c r="B210" s="26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</row>
    <row r="211" spans="1:18" x14ac:dyDescent="0.2">
      <c r="A211" s="14"/>
      <c r="B211" s="26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</row>
    <row r="212" spans="1:18" x14ac:dyDescent="0.2">
      <c r="A212" s="14"/>
      <c r="B212" s="26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</row>
    <row r="213" spans="1:18" x14ac:dyDescent="0.2">
      <c r="A213" s="14"/>
      <c r="B213" s="26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</row>
    <row r="214" spans="1:18" x14ac:dyDescent="0.2">
      <c r="A214" s="14"/>
      <c r="B214" s="26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</row>
    <row r="215" spans="1:18" x14ac:dyDescent="0.2">
      <c r="A215" s="14"/>
      <c r="B215" s="26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</row>
    <row r="216" spans="1:18" x14ac:dyDescent="0.2">
      <c r="A216" s="14"/>
      <c r="B216" s="26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</row>
    <row r="217" spans="1:18" x14ac:dyDescent="0.2">
      <c r="A217" s="14"/>
      <c r="B217" s="26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</row>
    <row r="218" spans="1:18" x14ac:dyDescent="0.2">
      <c r="A218" s="14"/>
      <c r="B218" s="26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</row>
    <row r="219" spans="1:18" x14ac:dyDescent="0.2">
      <c r="A219" s="14"/>
      <c r="B219" s="26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</row>
    <row r="220" spans="1:18" x14ac:dyDescent="0.2">
      <c r="A220" s="14"/>
      <c r="B220" s="26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</row>
    <row r="221" spans="1:18" x14ac:dyDescent="0.2">
      <c r="A221" s="14"/>
      <c r="B221" s="26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</row>
    <row r="222" spans="1:18" x14ac:dyDescent="0.2">
      <c r="A222" s="14"/>
      <c r="B222" s="26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</row>
    <row r="223" spans="1:18" x14ac:dyDescent="0.2">
      <c r="A223" s="14"/>
      <c r="B223" s="26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</row>
    <row r="224" spans="1:18" x14ac:dyDescent="0.2">
      <c r="A224" s="14"/>
      <c r="B224" s="26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</row>
    <row r="225" spans="1:18" x14ac:dyDescent="0.2">
      <c r="A225" s="14"/>
      <c r="B225" s="26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</row>
    <row r="226" spans="1:18" x14ac:dyDescent="0.2">
      <c r="A226" s="14"/>
      <c r="B226" s="26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</row>
    <row r="227" spans="1:18" x14ac:dyDescent="0.2">
      <c r="A227" s="14"/>
      <c r="B227" s="26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</row>
    <row r="228" spans="1:18" x14ac:dyDescent="0.2">
      <c r="A228" s="14"/>
      <c r="B228" s="26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</row>
    <row r="229" spans="1:18" x14ac:dyDescent="0.2">
      <c r="A229" s="14"/>
      <c r="B229" s="26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</row>
    <row r="230" spans="1:18" x14ac:dyDescent="0.2">
      <c r="A230" s="14"/>
      <c r="B230" s="26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</row>
    <row r="231" spans="1:18" x14ac:dyDescent="0.2">
      <c r="A231" s="14"/>
      <c r="B231" s="26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</row>
    <row r="232" spans="1:18" x14ac:dyDescent="0.2">
      <c r="A232" s="14"/>
      <c r="B232" s="26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</row>
    <row r="233" spans="1:18" x14ac:dyDescent="0.2">
      <c r="A233" s="14"/>
      <c r="B233" s="26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</row>
    <row r="234" spans="1:18" x14ac:dyDescent="0.2">
      <c r="A234" s="14"/>
      <c r="B234" s="26"/>
      <c r="E234" s="26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</row>
    <row r="235" spans="1:18" x14ac:dyDescent="0.2">
      <c r="A235" s="14"/>
      <c r="B235" s="26"/>
      <c r="E235" s="26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</row>
    <row r="236" spans="1:18" x14ac:dyDescent="0.2">
      <c r="A236" s="14"/>
      <c r="B236" s="26"/>
      <c r="E236" s="26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</row>
    <row r="237" spans="1:18" x14ac:dyDescent="0.2">
      <c r="A237" s="14"/>
      <c r="B237" s="26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</row>
    <row r="238" spans="1:18" x14ac:dyDescent="0.2">
      <c r="A238" s="14"/>
      <c r="B238" s="26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</row>
    <row r="239" spans="1:18" x14ac:dyDescent="0.2">
      <c r="A239" s="14"/>
      <c r="B239" s="26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</row>
    <row r="240" spans="1:18" x14ac:dyDescent="0.2">
      <c r="A240" s="14"/>
      <c r="B240" s="26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</row>
    <row r="241" spans="1:18" x14ac:dyDescent="0.2">
      <c r="A241" s="14"/>
      <c r="B241" s="26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</row>
    <row r="242" spans="1:18" x14ac:dyDescent="0.2">
      <c r="A242" s="14"/>
      <c r="B242" s="26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</row>
    <row r="243" spans="1:18" x14ac:dyDescent="0.2">
      <c r="A243" s="14"/>
      <c r="B243" s="26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</row>
    <row r="244" spans="1:18" x14ac:dyDescent="0.2">
      <c r="A244" s="14"/>
      <c r="B244" s="26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</row>
    <row r="245" spans="1:18" x14ac:dyDescent="0.2">
      <c r="A245" s="14"/>
      <c r="B245" s="26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</row>
    <row r="246" spans="1:18" x14ac:dyDescent="0.2">
      <c r="A246" s="14"/>
      <c r="B246" s="26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</row>
    <row r="247" spans="1:18" x14ac:dyDescent="0.2">
      <c r="A247" s="14"/>
      <c r="B247" s="26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</row>
    <row r="248" spans="1:18" x14ac:dyDescent="0.2">
      <c r="A248" s="14"/>
      <c r="B248" s="26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</row>
    <row r="249" spans="1:18" x14ac:dyDescent="0.2">
      <c r="A249" s="14"/>
      <c r="B249" s="26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</row>
    <row r="250" spans="1:18" x14ac:dyDescent="0.2">
      <c r="A250" s="14"/>
      <c r="B250" s="26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</row>
    <row r="251" spans="1:18" x14ac:dyDescent="0.2">
      <c r="A251" s="14"/>
      <c r="B251" s="26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</row>
    <row r="252" spans="1:18" x14ac:dyDescent="0.2">
      <c r="A252" s="14"/>
      <c r="B252" s="26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</row>
    <row r="253" spans="1:18" x14ac:dyDescent="0.2">
      <c r="A253" s="14"/>
      <c r="B253" s="26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</row>
    <row r="254" spans="1:18" x14ac:dyDescent="0.2">
      <c r="A254" s="14"/>
      <c r="B254" s="26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</row>
    <row r="255" spans="1:18" x14ac:dyDescent="0.2">
      <c r="A255" s="14"/>
      <c r="B255" s="26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</row>
    <row r="256" spans="1:18" x14ac:dyDescent="0.2">
      <c r="A256" s="14"/>
      <c r="B256" s="26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</row>
    <row r="257" spans="1:18" x14ac:dyDescent="0.2">
      <c r="A257" s="14"/>
      <c r="B257" s="26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</row>
    <row r="258" spans="1:18" x14ac:dyDescent="0.2">
      <c r="A258" s="14"/>
      <c r="B258" s="26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</row>
    <row r="259" spans="1:18" x14ac:dyDescent="0.2">
      <c r="A259" s="14"/>
      <c r="B259" s="26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</row>
    <row r="260" spans="1:18" x14ac:dyDescent="0.2">
      <c r="A260" s="14"/>
      <c r="B260" s="26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</row>
    <row r="261" spans="1:18" x14ac:dyDescent="0.2">
      <c r="A261" s="14"/>
      <c r="B261" s="26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</row>
    <row r="262" spans="1:18" x14ac:dyDescent="0.2">
      <c r="A262" s="14"/>
      <c r="B262" s="26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</row>
    <row r="263" spans="1:18" x14ac:dyDescent="0.2">
      <c r="A263" s="14"/>
      <c r="B263" s="26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</row>
    <row r="264" spans="1:18" x14ac:dyDescent="0.2">
      <c r="A264" s="14"/>
      <c r="B264" s="26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</row>
    <row r="265" spans="1:18" x14ac:dyDescent="0.2">
      <c r="A265" s="14"/>
      <c r="B265" s="26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</row>
    <row r="266" spans="1:18" x14ac:dyDescent="0.2">
      <c r="A266" s="14"/>
      <c r="B266" s="26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</row>
    <row r="267" spans="1:18" x14ac:dyDescent="0.2">
      <c r="A267" s="14"/>
      <c r="B267" s="26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</row>
    <row r="268" spans="1:18" x14ac:dyDescent="0.2">
      <c r="A268" s="14"/>
      <c r="B268" s="26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</row>
    <row r="269" spans="1:18" x14ac:dyDescent="0.2">
      <c r="A269" s="14"/>
      <c r="B269" s="26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</row>
    <row r="270" spans="1:18" x14ac:dyDescent="0.2">
      <c r="A270" s="14"/>
      <c r="B270" s="26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</row>
    <row r="271" spans="1:18" x14ac:dyDescent="0.2">
      <c r="A271" s="14"/>
      <c r="B271" s="26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</row>
    <row r="272" spans="1:18" x14ac:dyDescent="0.2">
      <c r="A272" s="14"/>
      <c r="B272" s="26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</row>
    <row r="273" spans="1:18" x14ac:dyDescent="0.2">
      <c r="A273" s="14"/>
      <c r="B273" s="26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</row>
    <row r="274" spans="1:18" x14ac:dyDescent="0.2">
      <c r="A274" s="14"/>
      <c r="B274" s="26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</row>
    <row r="275" spans="1:18" x14ac:dyDescent="0.2">
      <c r="A275" s="14"/>
      <c r="B275" s="26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</row>
    <row r="276" spans="1:18" x14ac:dyDescent="0.2">
      <c r="A276" s="14"/>
      <c r="B276" s="26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</row>
    <row r="277" spans="1:18" x14ac:dyDescent="0.2">
      <c r="A277" s="14"/>
      <c r="B277" s="26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</row>
    <row r="278" spans="1:18" x14ac:dyDescent="0.2">
      <c r="A278" s="14"/>
      <c r="B278" s="26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</row>
    <row r="279" spans="1:18" x14ac:dyDescent="0.2">
      <c r="A279" s="14"/>
      <c r="B279" s="26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</row>
    <row r="280" spans="1:18" x14ac:dyDescent="0.2">
      <c r="A280" s="14"/>
      <c r="B280" s="26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</row>
    <row r="281" spans="1:18" x14ac:dyDescent="0.2">
      <c r="A281" s="14"/>
      <c r="B281" s="26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</row>
    <row r="282" spans="1:18" x14ac:dyDescent="0.2">
      <c r="A282" s="14"/>
      <c r="B282" s="26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</row>
    <row r="283" spans="1:18" x14ac:dyDescent="0.2">
      <c r="A283" s="14"/>
      <c r="B283" s="26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</row>
    <row r="284" spans="1:18" x14ac:dyDescent="0.2">
      <c r="A284" s="14"/>
      <c r="B284" s="26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</row>
    <row r="285" spans="1:18" x14ac:dyDescent="0.2">
      <c r="A285" s="14"/>
      <c r="B285" s="26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</row>
    <row r="286" spans="1:18" x14ac:dyDescent="0.2">
      <c r="A286" s="14"/>
      <c r="B286" s="26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</row>
    <row r="287" spans="1:18" x14ac:dyDescent="0.2">
      <c r="A287" s="14"/>
      <c r="B287" s="26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</row>
    <row r="288" spans="1:18" x14ac:dyDescent="0.2">
      <c r="A288" s="14"/>
      <c r="B288" s="26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</row>
    <row r="289" spans="1:18" x14ac:dyDescent="0.2">
      <c r="A289" s="14"/>
      <c r="B289" s="26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</row>
    <row r="290" spans="1:18" x14ac:dyDescent="0.2">
      <c r="A290" s="14"/>
      <c r="B290" s="26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</row>
    <row r="291" spans="1:18" x14ac:dyDescent="0.2">
      <c r="A291" s="14"/>
      <c r="B291" s="26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</row>
    <row r="292" spans="1:18" x14ac:dyDescent="0.2">
      <c r="A292" s="14"/>
      <c r="B292" s="26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</row>
    <row r="293" spans="1:18" x14ac:dyDescent="0.2">
      <c r="A293" s="14"/>
      <c r="B293" s="26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</row>
    <row r="294" spans="1:18" x14ac:dyDescent="0.2">
      <c r="A294" s="14"/>
      <c r="B294" s="26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</row>
    <row r="295" spans="1:18" x14ac:dyDescent="0.2">
      <c r="A295" s="14"/>
      <c r="B295" s="26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</row>
    <row r="296" spans="1:18" x14ac:dyDescent="0.2">
      <c r="A296" s="14"/>
      <c r="B296" s="26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</row>
    <row r="297" spans="1:18" x14ac:dyDescent="0.2">
      <c r="A297" s="14"/>
      <c r="B297" s="26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</row>
    <row r="298" spans="1:18" x14ac:dyDescent="0.2">
      <c r="A298" s="14"/>
      <c r="B298" s="26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</row>
    <row r="299" spans="1:18" x14ac:dyDescent="0.2">
      <c r="A299" s="14"/>
      <c r="B299" s="26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</row>
    <row r="300" spans="1:18" x14ac:dyDescent="0.2">
      <c r="A300" s="14"/>
      <c r="B300" s="26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</row>
    <row r="301" spans="1:18" x14ac:dyDescent="0.2">
      <c r="A301" s="14"/>
      <c r="B301" s="26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</row>
    <row r="302" spans="1:18" x14ac:dyDescent="0.2">
      <c r="A302" s="14"/>
      <c r="B302" s="26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</row>
    <row r="303" spans="1:18" x14ac:dyDescent="0.2">
      <c r="A303" s="14"/>
      <c r="B303" s="26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</row>
    <row r="304" spans="1:18" x14ac:dyDescent="0.2">
      <c r="A304" s="14"/>
      <c r="B304" s="26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</row>
    <row r="305" spans="1:18" x14ac:dyDescent="0.2">
      <c r="A305" s="14"/>
      <c r="B305" s="26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</row>
    <row r="306" spans="1:18" x14ac:dyDescent="0.2">
      <c r="A306" s="14"/>
      <c r="B306" s="26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</row>
    <row r="307" spans="1:18" x14ac:dyDescent="0.2">
      <c r="A307" s="14"/>
      <c r="B307" s="26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</row>
    <row r="308" spans="1:18" x14ac:dyDescent="0.2">
      <c r="A308" s="14"/>
      <c r="B308" s="26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</row>
    <row r="309" spans="1:18" x14ac:dyDescent="0.2">
      <c r="A309" s="14"/>
      <c r="B309" s="26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</row>
    <row r="310" spans="1:18" x14ac:dyDescent="0.2">
      <c r="A310" s="14"/>
      <c r="B310" s="26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</row>
    <row r="311" spans="1:18" x14ac:dyDescent="0.2">
      <c r="A311" s="14"/>
      <c r="B311" s="26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</row>
    <row r="312" spans="1:18" x14ac:dyDescent="0.2">
      <c r="A312" s="14"/>
      <c r="B312" s="26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</row>
    <row r="313" spans="1:18" x14ac:dyDescent="0.2">
      <c r="A313" s="14"/>
      <c r="B313" s="26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</row>
    <row r="314" spans="1:18" x14ac:dyDescent="0.2">
      <c r="A314" s="14"/>
      <c r="B314" s="26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</row>
    <row r="315" spans="1:18" x14ac:dyDescent="0.2">
      <c r="A315" s="14"/>
      <c r="B315" s="26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</row>
    <row r="316" spans="1:18" x14ac:dyDescent="0.2">
      <c r="A316" s="14"/>
      <c r="B316" s="26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</row>
    <row r="317" spans="1:18" x14ac:dyDescent="0.2">
      <c r="A317" s="14"/>
      <c r="B317" s="26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</row>
    <row r="318" spans="1:18" x14ac:dyDescent="0.2">
      <c r="A318" s="14"/>
      <c r="B318" s="1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</row>
    <row r="319" spans="1:18" x14ac:dyDescent="0.2">
      <c r="A319" s="14"/>
      <c r="B319" s="1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</row>
    <row r="320" spans="1:18" x14ac:dyDescent="0.2">
      <c r="A320" s="14"/>
      <c r="B320" s="1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</row>
    <row r="321" spans="1:18" x14ac:dyDescent="0.2">
      <c r="A321" s="14"/>
      <c r="B321" s="1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</row>
    <row r="322" spans="1:18" x14ac:dyDescent="0.2">
      <c r="A322" s="14"/>
      <c r="B322" s="1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</row>
    <row r="323" spans="1:18" x14ac:dyDescent="0.2">
      <c r="A323" s="14"/>
      <c r="B323" s="1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</row>
    <row r="324" spans="1:18" x14ac:dyDescent="0.2">
      <c r="A324" s="14"/>
      <c r="B324" s="1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</row>
    <row r="325" spans="1:18" x14ac:dyDescent="0.2">
      <c r="A325" s="14"/>
      <c r="B325" s="1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</row>
    <row r="326" spans="1:18" x14ac:dyDescent="0.2">
      <c r="A326" s="14"/>
      <c r="B326" s="1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</row>
    <row r="327" spans="1:18" x14ac:dyDescent="0.2">
      <c r="A327" s="14"/>
      <c r="B327" s="1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</row>
    <row r="328" spans="1:18" x14ac:dyDescent="0.2">
      <c r="A328" s="14"/>
      <c r="B328" s="1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</row>
    <row r="329" spans="1:18" x14ac:dyDescent="0.2">
      <c r="A329" s="14"/>
      <c r="B329" s="1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</row>
    <row r="330" spans="1:18" x14ac:dyDescent="0.2">
      <c r="A330" s="14"/>
      <c r="B330" s="1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</row>
    <row r="331" spans="1:18" x14ac:dyDescent="0.2">
      <c r="A331" s="14"/>
      <c r="B331" s="1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</row>
    <row r="332" spans="1:18" x14ac:dyDescent="0.2">
      <c r="A332" s="14"/>
      <c r="B332" s="1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</row>
    <row r="333" spans="1:18" x14ac:dyDescent="0.2">
      <c r="A333" s="14"/>
      <c r="B333" s="1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</row>
    <row r="334" spans="1:18" x14ac:dyDescent="0.2">
      <c r="A334" s="14"/>
      <c r="B334" s="1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</row>
    <row r="335" spans="1:18" x14ac:dyDescent="0.2">
      <c r="A335" s="14"/>
      <c r="B335" s="1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</row>
    <row r="336" spans="1:18" x14ac:dyDescent="0.2">
      <c r="A336" s="14"/>
      <c r="B336" s="1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</row>
    <row r="337" spans="1:18" x14ac:dyDescent="0.2">
      <c r="A337" s="14"/>
      <c r="B337" s="1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</row>
    <row r="338" spans="1:18" x14ac:dyDescent="0.2">
      <c r="A338" s="14"/>
      <c r="B338" s="1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</row>
    <row r="339" spans="1:18" x14ac:dyDescent="0.2">
      <c r="A339" s="14"/>
      <c r="B339" s="1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</row>
    <row r="340" spans="1:18" x14ac:dyDescent="0.2">
      <c r="A340" s="14"/>
      <c r="B340" s="1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</row>
    <row r="341" spans="1:18" x14ac:dyDescent="0.2">
      <c r="A341" s="14"/>
      <c r="B341" s="1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</row>
    <row r="342" spans="1:18" x14ac:dyDescent="0.2">
      <c r="A342" s="14"/>
      <c r="B342" s="15"/>
    </row>
    <row r="343" spans="1:18" x14ac:dyDescent="0.2">
      <c r="A343" s="14"/>
      <c r="B343" s="15"/>
    </row>
    <row r="344" spans="1:18" x14ac:dyDescent="0.2">
      <c r="A344" s="14"/>
      <c r="B344" s="15"/>
    </row>
    <row r="345" spans="1:18" x14ac:dyDescent="0.2">
      <c r="A345" s="14"/>
      <c r="B345" s="15"/>
    </row>
    <row r="346" spans="1:18" x14ac:dyDescent="0.2">
      <c r="A346" s="14"/>
      <c r="B346" s="15"/>
    </row>
    <row r="347" spans="1:18" x14ac:dyDescent="0.2">
      <c r="A347" s="14"/>
      <c r="B347" s="15"/>
    </row>
    <row r="348" spans="1:18" x14ac:dyDescent="0.2">
      <c r="A348" s="14"/>
      <c r="B348" s="15"/>
    </row>
    <row r="349" spans="1:18" x14ac:dyDescent="0.2">
      <c r="A349" s="14"/>
      <c r="B349" s="15"/>
    </row>
    <row r="350" spans="1:18" x14ac:dyDescent="0.2">
      <c r="A350" s="14"/>
      <c r="B350" s="15"/>
    </row>
    <row r="351" spans="1:18" x14ac:dyDescent="0.2">
      <c r="A351" s="14"/>
      <c r="B351" s="15"/>
    </row>
    <row r="352" spans="1:18" x14ac:dyDescent="0.2">
      <c r="A352" s="14"/>
      <c r="B352" s="15"/>
    </row>
    <row r="353" spans="1:2" x14ac:dyDescent="0.2">
      <c r="A353" s="14"/>
      <c r="B353" s="15"/>
    </row>
    <row r="354" spans="1:2" x14ac:dyDescent="0.2">
      <c r="A354" s="14"/>
      <c r="B354" s="15"/>
    </row>
    <row r="355" spans="1:2" x14ac:dyDescent="0.2">
      <c r="A355" s="14"/>
      <c r="B355" s="15"/>
    </row>
    <row r="356" spans="1:2" x14ac:dyDescent="0.2">
      <c r="A356" s="14"/>
      <c r="B356" s="15"/>
    </row>
    <row r="357" spans="1:2" x14ac:dyDescent="0.2">
      <c r="A357" s="14"/>
      <c r="B357" s="15"/>
    </row>
    <row r="358" spans="1:2" x14ac:dyDescent="0.2">
      <c r="A358" s="14"/>
      <c r="B358" s="15"/>
    </row>
    <row r="359" spans="1:2" x14ac:dyDescent="0.2">
      <c r="A359" s="14"/>
      <c r="B359" s="15"/>
    </row>
    <row r="360" spans="1:2" x14ac:dyDescent="0.2">
      <c r="A360" s="14"/>
      <c r="B360" s="15"/>
    </row>
    <row r="361" spans="1:2" x14ac:dyDescent="0.2">
      <c r="A361" s="14"/>
      <c r="B361" s="15"/>
    </row>
    <row r="362" spans="1:2" x14ac:dyDescent="0.2">
      <c r="A362" s="14"/>
      <c r="B362" s="15"/>
    </row>
    <row r="363" spans="1:2" x14ac:dyDescent="0.2">
      <c r="A363" s="14"/>
      <c r="B363" s="15"/>
    </row>
    <row r="364" spans="1:2" x14ac:dyDescent="0.2">
      <c r="A364" s="14"/>
      <c r="B364" s="15"/>
    </row>
    <row r="365" spans="1:2" x14ac:dyDescent="0.2">
      <c r="A365" s="14"/>
      <c r="B365" s="15"/>
    </row>
    <row r="366" spans="1:2" x14ac:dyDescent="0.2">
      <c r="A366" s="14"/>
      <c r="B366" s="15"/>
    </row>
    <row r="367" spans="1:2" x14ac:dyDescent="0.2">
      <c r="A367" s="14"/>
      <c r="B367" s="15"/>
    </row>
    <row r="368" spans="1:2" x14ac:dyDescent="0.2">
      <c r="A368" s="14"/>
      <c r="B368" s="15"/>
    </row>
  </sheetData>
  <autoFilter ref="A1:G341" xr:uid="{03F910D6-38F1-436D-839B-200B000524AC}"/>
  <pageMargins left="0.74791666666666701" right="0.74791666666666701" top="0.98402777777777795" bottom="0.98402777777777795" header="0.51180555555555496" footer="0.51180555555555496"/>
  <pageSetup paperSize="9"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568">
    <tabColor rgb="FFFFD966"/>
  </sheetPr>
  <dimension ref="A1:P1039"/>
  <sheetViews>
    <sheetView showGridLines="0" zoomScaleNormal="100" workbookViewId="0">
      <pane ySplit="1" topLeftCell="A2" activePane="bottomLeft" state="frozen"/>
      <selection pane="bottomLeft" activeCell="A63" sqref="A63:XFD65"/>
    </sheetView>
  </sheetViews>
  <sheetFormatPr defaultColWidth="11.42578125" defaultRowHeight="13.5" x14ac:dyDescent="0.25"/>
  <cols>
    <col min="1" max="1" width="11.42578125" style="14" customWidth="1"/>
    <col min="2" max="2" width="11.42578125" style="125" customWidth="1"/>
    <col min="3" max="3" width="42.85546875" customWidth="1"/>
    <col min="4" max="4" width="10.28515625" style="79" customWidth="1"/>
    <col min="5" max="5" width="3" customWidth="1"/>
    <col min="6" max="6" width="2.42578125" customWidth="1"/>
    <col min="7" max="7" width="62.85546875" customWidth="1"/>
    <col min="8" max="8" width="8.5703125" customWidth="1"/>
    <col min="9" max="9" width="6.28515625" customWidth="1"/>
    <col min="10" max="10" width="18" customWidth="1"/>
    <col min="11" max="11" width="13" customWidth="1"/>
    <col min="12" max="12" width="9" customWidth="1"/>
    <col min="13" max="13" width="40.85546875" customWidth="1"/>
    <col min="14" max="14" width="76.28515625" customWidth="1"/>
    <col min="15" max="15" width="10.140625" customWidth="1"/>
    <col min="16" max="16" width="15.7109375" customWidth="1"/>
  </cols>
  <sheetData>
    <row r="1" spans="1:16" ht="15" customHeight="1" x14ac:dyDescent="0.25">
      <c r="A1" s="123" t="s">
        <v>1</v>
      </c>
      <c r="B1" s="124" t="s">
        <v>2</v>
      </c>
      <c r="C1" s="38" t="s">
        <v>94</v>
      </c>
      <c r="D1" s="113" t="s">
        <v>15</v>
      </c>
      <c r="E1" s="40"/>
      <c r="F1" s="21"/>
      <c r="G1" s="91" t="s">
        <v>37</v>
      </c>
      <c r="H1" s="111" t="s">
        <v>56</v>
      </c>
      <c r="I1" s="102">
        <f>(COUNTA(A1:A1659) - (COUNTA(D1:D1659)))</f>
        <v>0</v>
      </c>
      <c r="J1" s="111" t="s">
        <v>93</v>
      </c>
      <c r="K1" s="112">
        <f>SUMIF(C2:C1659,"", B2:B1659)</f>
        <v>0</v>
      </c>
      <c r="L1" s="24"/>
      <c r="M1" s="24"/>
      <c r="N1" s="24"/>
      <c r="O1" s="24"/>
      <c r="P1" s="24"/>
    </row>
    <row r="2" spans="1:16" x14ac:dyDescent="0.25">
      <c r="H2" s="24"/>
      <c r="I2" s="24"/>
      <c r="J2" s="24"/>
      <c r="K2" s="24"/>
      <c r="L2" s="24"/>
      <c r="M2" s="24"/>
      <c r="N2" s="24"/>
      <c r="O2" s="24"/>
      <c r="P2" s="24"/>
    </row>
    <row r="3" spans="1:16" ht="15" x14ac:dyDescent="0.25">
      <c r="F3" s="115"/>
      <c r="H3" s="24"/>
      <c r="I3" s="24"/>
      <c r="J3" s="24"/>
      <c r="K3" s="24"/>
      <c r="L3" s="24"/>
      <c r="M3" s="24"/>
      <c r="N3" s="24"/>
      <c r="O3" s="24"/>
      <c r="P3" s="24"/>
    </row>
    <row r="4" spans="1:16" ht="15" x14ac:dyDescent="0.25">
      <c r="F4" s="115"/>
      <c r="H4" s="24"/>
      <c r="I4" s="24"/>
      <c r="J4" s="24"/>
      <c r="K4" s="24"/>
      <c r="L4" s="24"/>
      <c r="M4" s="24"/>
      <c r="N4" s="24"/>
      <c r="O4" s="24"/>
      <c r="P4" s="24"/>
    </row>
    <row r="5" spans="1:16" ht="15" x14ac:dyDescent="0.25">
      <c r="F5" s="115"/>
      <c r="H5" s="24"/>
      <c r="I5" s="24"/>
      <c r="J5" s="24"/>
      <c r="K5" s="24"/>
      <c r="L5" s="24"/>
      <c r="M5" s="24"/>
      <c r="N5" s="24"/>
      <c r="O5" s="24"/>
      <c r="P5" s="24"/>
    </row>
    <row r="6" spans="1:16" ht="15" x14ac:dyDescent="0.25">
      <c r="F6" s="115"/>
      <c r="H6" s="24"/>
      <c r="I6" s="24"/>
      <c r="J6" s="24"/>
      <c r="K6" s="24"/>
      <c r="L6" s="24"/>
      <c r="M6" s="24"/>
      <c r="N6" s="24"/>
      <c r="O6" s="24"/>
      <c r="P6" s="24"/>
    </row>
    <row r="7" spans="1:16" ht="15" x14ac:dyDescent="0.25">
      <c r="F7" s="115"/>
      <c r="H7" s="24"/>
      <c r="I7" s="24"/>
      <c r="J7" s="24"/>
      <c r="K7" s="24"/>
      <c r="L7" s="24"/>
      <c r="M7" s="24"/>
      <c r="N7" s="24"/>
      <c r="O7" s="24"/>
      <c r="P7" s="24"/>
    </row>
    <row r="8" spans="1:16" ht="15" x14ac:dyDescent="0.25">
      <c r="F8" s="115"/>
      <c r="H8" s="24"/>
      <c r="I8" s="24"/>
      <c r="J8" s="24"/>
      <c r="K8" s="24"/>
      <c r="L8" s="24"/>
      <c r="M8" s="24"/>
      <c r="N8" s="24"/>
      <c r="O8" s="24"/>
      <c r="P8" s="24"/>
    </row>
    <row r="9" spans="1:16" ht="15" x14ac:dyDescent="0.25">
      <c r="F9" s="115"/>
      <c r="H9" s="24"/>
      <c r="I9" s="24"/>
      <c r="J9" s="24"/>
      <c r="K9" s="24"/>
      <c r="L9" s="24"/>
      <c r="M9" s="24"/>
      <c r="N9" s="24"/>
      <c r="O9" s="24"/>
      <c r="P9" s="24"/>
    </row>
    <row r="10" spans="1:16" ht="15" x14ac:dyDescent="0.25">
      <c r="F10" s="115"/>
      <c r="H10" s="24"/>
      <c r="I10" s="24"/>
      <c r="J10" s="24"/>
      <c r="K10" s="24"/>
      <c r="L10" s="24"/>
      <c r="M10" s="24"/>
      <c r="N10" s="24"/>
      <c r="O10" s="24"/>
      <c r="P10" s="24"/>
    </row>
    <row r="11" spans="1:16" ht="15" x14ac:dyDescent="0.25">
      <c r="F11" s="115"/>
      <c r="H11" s="24"/>
      <c r="I11" s="24"/>
      <c r="J11" s="24"/>
      <c r="K11" s="24"/>
      <c r="L11" s="24"/>
      <c r="M11" s="24"/>
      <c r="N11" s="24"/>
      <c r="O11" s="24"/>
      <c r="P11" s="24"/>
    </row>
    <row r="12" spans="1:16" ht="15" x14ac:dyDescent="0.25">
      <c r="F12" s="115"/>
      <c r="H12" s="24"/>
      <c r="I12" s="24"/>
      <c r="J12" s="24"/>
      <c r="K12" s="24"/>
      <c r="L12" s="24"/>
      <c r="M12" s="24"/>
      <c r="N12" s="24"/>
      <c r="O12" s="24"/>
      <c r="P12" s="24"/>
    </row>
    <row r="13" spans="1:16" ht="15" x14ac:dyDescent="0.25">
      <c r="F13" s="115"/>
      <c r="H13" s="24"/>
      <c r="I13" s="24"/>
      <c r="J13" s="24"/>
      <c r="K13" s="24"/>
      <c r="L13" s="24"/>
      <c r="M13" s="24"/>
      <c r="N13" s="24"/>
      <c r="O13" s="24"/>
      <c r="P13" s="24"/>
    </row>
    <row r="14" spans="1:16" ht="15" x14ac:dyDescent="0.25">
      <c r="F14" s="115"/>
      <c r="H14" s="24"/>
      <c r="I14" s="24"/>
      <c r="J14" s="24"/>
      <c r="K14" s="24"/>
      <c r="L14" s="24"/>
      <c r="M14" s="24"/>
      <c r="N14" s="24"/>
      <c r="O14" s="24"/>
      <c r="P14" s="24"/>
    </row>
    <row r="15" spans="1:16" ht="15" x14ac:dyDescent="0.25">
      <c r="F15" s="115"/>
      <c r="H15" s="24"/>
      <c r="I15" s="24"/>
      <c r="J15" s="24"/>
      <c r="K15" s="24"/>
      <c r="L15" s="24"/>
      <c r="M15" s="24"/>
      <c r="N15" s="24"/>
      <c r="O15" s="24"/>
      <c r="P15" s="24"/>
    </row>
    <row r="16" spans="1:16" ht="15" x14ac:dyDescent="0.25">
      <c r="F16" s="115"/>
      <c r="H16" s="24"/>
      <c r="I16" s="24"/>
      <c r="J16" s="24"/>
      <c r="K16" s="24"/>
      <c r="L16" s="24"/>
      <c r="M16" s="24"/>
      <c r="N16" s="24"/>
      <c r="O16" s="24"/>
      <c r="P16" s="24"/>
    </row>
    <row r="17" spans="6:16" ht="15" x14ac:dyDescent="0.25">
      <c r="F17" s="115"/>
      <c r="H17" s="24"/>
      <c r="I17" s="24"/>
      <c r="J17" s="24"/>
      <c r="K17" s="24"/>
      <c r="L17" s="24"/>
      <c r="M17" s="24"/>
      <c r="N17" s="24"/>
      <c r="O17" s="24"/>
      <c r="P17" s="24"/>
    </row>
    <row r="18" spans="6:16" ht="15" x14ac:dyDescent="0.25">
      <c r="F18" s="115"/>
      <c r="H18" s="24"/>
      <c r="I18" s="24"/>
      <c r="J18" s="24"/>
      <c r="K18" s="24"/>
      <c r="L18" s="24"/>
      <c r="M18" s="24"/>
      <c r="N18" s="24"/>
      <c r="O18" s="24"/>
      <c r="P18" s="24"/>
    </row>
    <row r="19" spans="6:16" ht="15" x14ac:dyDescent="0.25">
      <c r="F19" s="115"/>
      <c r="H19" s="24"/>
      <c r="I19" s="24"/>
      <c r="J19" s="24"/>
      <c r="K19" s="24"/>
      <c r="L19" s="24"/>
      <c r="M19" s="24"/>
      <c r="N19" s="24"/>
      <c r="O19" s="24"/>
      <c r="P19" s="24"/>
    </row>
    <row r="20" spans="6:16" ht="15" x14ac:dyDescent="0.25">
      <c r="F20" s="115"/>
      <c r="H20" s="24"/>
      <c r="I20" s="24"/>
      <c r="J20" s="24"/>
      <c r="K20" s="24"/>
      <c r="L20" s="24"/>
      <c r="M20" s="24"/>
      <c r="N20" s="24"/>
      <c r="O20" s="24"/>
      <c r="P20" s="24"/>
    </row>
    <row r="21" spans="6:16" ht="15" x14ac:dyDescent="0.25">
      <c r="F21" s="115"/>
      <c r="H21" s="24"/>
      <c r="I21" s="24"/>
      <c r="J21" s="24"/>
      <c r="K21" s="24"/>
      <c r="L21" s="24"/>
      <c r="M21" s="24"/>
      <c r="N21" s="24"/>
      <c r="O21" s="24"/>
      <c r="P21" s="24"/>
    </row>
    <row r="22" spans="6:16" ht="15" x14ac:dyDescent="0.25">
      <c r="F22" s="115"/>
      <c r="H22" s="24"/>
      <c r="I22" s="24"/>
      <c r="J22" s="24"/>
      <c r="K22" s="24"/>
      <c r="L22" s="24"/>
      <c r="M22" s="24"/>
      <c r="N22" s="24"/>
      <c r="O22" s="24"/>
      <c r="P22" s="24"/>
    </row>
    <row r="23" spans="6:16" ht="15" x14ac:dyDescent="0.25">
      <c r="F23" s="115"/>
      <c r="H23" s="24"/>
      <c r="I23" s="24"/>
      <c r="J23" s="24"/>
      <c r="K23" s="24"/>
      <c r="L23" s="24"/>
      <c r="M23" s="24"/>
      <c r="N23" s="24"/>
      <c r="O23" s="24"/>
      <c r="P23" s="24"/>
    </row>
    <row r="24" spans="6:16" ht="15" x14ac:dyDescent="0.25">
      <c r="F24" s="115"/>
      <c r="H24" s="24"/>
      <c r="I24" s="24"/>
      <c r="J24" s="24"/>
      <c r="K24" s="24"/>
      <c r="L24" s="24"/>
      <c r="M24" s="24"/>
      <c r="N24" s="24"/>
      <c r="O24" s="24"/>
      <c r="P24" s="24"/>
    </row>
    <row r="25" spans="6:16" ht="15" x14ac:dyDescent="0.25">
      <c r="F25" s="115"/>
      <c r="H25" s="24"/>
      <c r="I25" s="24"/>
      <c r="J25" s="24"/>
      <c r="K25" s="24"/>
      <c r="L25" s="24"/>
      <c r="M25" s="24"/>
      <c r="N25" s="24"/>
      <c r="O25" s="24"/>
      <c r="P25" s="24"/>
    </row>
    <row r="26" spans="6:16" ht="15" x14ac:dyDescent="0.25">
      <c r="F26" s="115"/>
      <c r="H26" s="24"/>
      <c r="I26" s="24"/>
      <c r="J26" s="24"/>
      <c r="K26" s="24"/>
      <c r="L26" s="24"/>
      <c r="M26" s="24"/>
      <c r="N26" s="24"/>
      <c r="O26" s="24"/>
      <c r="P26" s="24"/>
    </row>
    <row r="27" spans="6:16" ht="15" x14ac:dyDescent="0.25">
      <c r="F27" s="115"/>
      <c r="H27" s="24"/>
      <c r="I27" s="24"/>
      <c r="J27" s="24"/>
      <c r="K27" s="24"/>
      <c r="L27" s="24"/>
      <c r="M27" s="24"/>
      <c r="N27" s="24"/>
      <c r="O27" s="24"/>
      <c r="P27" s="24"/>
    </row>
    <row r="28" spans="6:16" ht="15" x14ac:dyDescent="0.25">
      <c r="F28" s="115"/>
      <c r="H28" s="24"/>
      <c r="I28" s="24"/>
      <c r="J28" s="24"/>
      <c r="K28" s="24"/>
      <c r="L28" s="24"/>
      <c r="M28" s="24"/>
      <c r="N28" s="24"/>
      <c r="O28" s="24"/>
      <c r="P28" s="24"/>
    </row>
    <row r="29" spans="6:16" ht="15" x14ac:dyDescent="0.25">
      <c r="F29" s="115"/>
      <c r="H29" s="24"/>
      <c r="I29" s="24"/>
      <c r="J29" s="24"/>
      <c r="K29" s="24"/>
      <c r="L29" s="24"/>
      <c r="M29" s="24"/>
      <c r="N29" s="24"/>
      <c r="O29" s="24"/>
      <c r="P29" s="24"/>
    </row>
    <row r="30" spans="6:16" ht="15" x14ac:dyDescent="0.25">
      <c r="F30" s="115"/>
      <c r="H30" s="24"/>
      <c r="I30" s="24"/>
      <c r="J30" s="24"/>
      <c r="K30" s="24"/>
      <c r="L30" s="24"/>
      <c r="M30" s="24"/>
      <c r="N30" s="24"/>
      <c r="O30" s="24"/>
      <c r="P30" s="24"/>
    </row>
    <row r="31" spans="6:16" ht="15" x14ac:dyDescent="0.25">
      <c r="F31" s="115"/>
      <c r="H31" s="24"/>
      <c r="I31" s="24"/>
      <c r="J31" s="24"/>
      <c r="K31" s="24"/>
      <c r="L31" s="24"/>
      <c r="M31" s="24"/>
      <c r="N31" s="24"/>
      <c r="O31" s="24"/>
      <c r="P31" s="24"/>
    </row>
    <row r="32" spans="6:16" ht="15" x14ac:dyDescent="0.25">
      <c r="F32" s="115"/>
      <c r="H32" s="24"/>
      <c r="I32" s="24"/>
      <c r="J32" s="24"/>
      <c r="K32" s="24"/>
      <c r="L32" s="24"/>
      <c r="M32" s="24"/>
      <c r="N32" s="24"/>
      <c r="O32" s="24"/>
      <c r="P32" s="24"/>
    </row>
    <row r="33" spans="6:16" ht="15" x14ac:dyDescent="0.25">
      <c r="F33" s="115"/>
      <c r="H33" s="24"/>
      <c r="I33" s="24"/>
      <c r="J33" s="24"/>
      <c r="K33" s="24"/>
      <c r="L33" s="24"/>
      <c r="M33" s="24"/>
      <c r="N33" s="24"/>
      <c r="O33" s="24"/>
      <c r="P33" s="24"/>
    </row>
    <row r="34" spans="6:16" ht="15" x14ac:dyDescent="0.25">
      <c r="F34" s="115"/>
      <c r="H34" s="24"/>
      <c r="I34" s="24"/>
      <c r="J34" s="24"/>
      <c r="K34" s="24"/>
      <c r="L34" s="24"/>
      <c r="M34" s="24"/>
      <c r="N34" s="24"/>
      <c r="O34" s="24"/>
      <c r="P34" s="24"/>
    </row>
    <row r="35" spans="6:16" ht="15" x14ac:dyDescent="0.25">
      <c r="F35" s="115"/>
      <c r="H35" s="24"/>
      <c r="I35" s="24"/>
      <c r="J35" s="24"/>
      <c r="K35" s="24"/>
      <c r="L35" s="24"/>
      <c r="M35" s="24"/>
      <c r="N35" s="24"/>
      <c r="O35" s="24"/>
      <c r="P35" s="24"/>
    </row>
    <row r="36" spans="6:16" ht="15" x14ac:dyDescent="0.25">
      <c r="F36" s="115"/>
      <c r="H36" s="24"/>
      <c r="I36" s="24"/>
      <c r="J36" s="24"/>
      <c r="K36" s="24"/>
      <c r="L36" s="24"/>
      <c r="M36" s="24"/>
      <c r="N36" s="24"/>
      <c r="O36" s="24"/>
      <c r="P36" s="24"/>
    </row>
    <row r="37" spans="6:16" ht="15" x14ac:dyDescent="0.25">
      <c r="F37" s="115"/>
      <c r="H37" s="24"/>
      <c r="I37" s="24"/>
      <c r="J37" s="24"/>
      <c r="K37" s="24"/>
      <c r="L37" s="24"/>
      <c r="M37" s="24"/>
      <c r="N37" s="24"/>
      <c r="O37" s="24"/>
      <c r="P37" s="24"/>
    </row>
    <row r="38" spans="6:16" ht="15" x14ac:dyDescent="0.25">
      <c r="F38" s="115"/>
      <c r="H38" s="24"/>
      <c r="I38" s="24"/>
      <c r="J38" s="24"/>
      <c r="K38" s="24"/>
      <c r="L38" s="24"/>
      <c r="M38" s="24"/>
      <c r="N38" s="24"/>
      <c r="O38" s="24"/>
      <c r="P38" s="24"/>
    </row>
    <row r="39" spans="6:16" ht="15" x14ac:dyDescent="0.25">
      <c r="F39" s="115"/>
      <c r="H39" s="24"/>
      <c r="I39" s="24"/>
      <c r="J39" s="24"/>
      <c r="K39" s="24"/>
      <c r="L39" s="24"/>
      <c r="M39" s="24"/>
      <c r="N39" s="24"/>
      <c r="O39" s="24"/>
      <c r="P39" s="24"/>
    </row>
    <row r="40" spans="6:16" ht="15" x14ac:dyDescent="0.25">
      <c r="F40" s="115"/>
      <c r="H40" s="24"/>
      <c r="I40" s="24"/>
      <c r="J40" s="24"/>
      <c r="K40" s="24"/>
      <c r="L40" s="24"/>
      <c r="M40" s="24"/>
      <c r="N40" s="24"/>
      <c r="O40" s="24"/>
      <c r="P40" s="24"/>
    </row>
    <row r="41" spans="6:16" ht="15" x14ac:dyDescent="0.25">
      <c r="F41" s="115"/>
      <c r="H41" s="24"/>
      <c r="I41" s="24"/>
      <c r="J41" s="24"/>
      <c r="K41" s="24"/>
      <c r="L41" s="24"/>
      <c r="M41" s="24"/>
      <c r="N41" s="24"/>
      <c r="O41" s="24"/>
      <c r="P41" s="24"/>
    </row>
    <row r="42" spans="6:16" ht="15" x14ac:dyDescent="0.25">
      <c r="F42" s="115"/>
      <c r="H42" s="24"/>
      <c r="I42" s="24"/>
      <c r="J42" s="24"/>
      <c r="K42" s="24"/>
      <c r="L42" s="24"/>
      <c r="M42" s="24"/>
      <c r="N42" s="24"/>
      <c r="O42" s="24"/>
      <c r="P42" s="24"/>
    </row>
    <row r="43" spans="6:16" ht="15" x14ac:dyDescent="0.25">
      <c r="F43" s="115"/>
      <c r="H43" s="24"/>
      <c r="I43" s="24"/>
      <c r="J43" s="24"/>
      <c r="K43" s="24"/>
      <c r="L43" s="24"/>
      <c r="M43" s="24"/>
      <c r="N43" s="24"/>
      <c r="O43" s="24"/>
      <c r="P43" s="24"/>
    </row>
    <row r="44" spans="6:16" ht="15" x14ac:dyDescent="0.25">
      <c r="F44" s="115"/>
      <c r="H44" s="24"/>
      <c r="I44" s="24"/>
      <c r="J44" s="24"/>
      <c r="K44" s="24"/>
      <c r="L44" s="24"/>
      <c r="M44" s="24"/>
      <c r="N44" s="24"/>
      <c r="O44" s="24"/>
      <c r="P44" s="24"/>
    </row>
    <row r="45" spans="6:16" ht="15" x14ac:dyDescent="0.25">
      <c r="F45" s="115"/>
      <c r="H45" s="24"/>
      <c r="I45" s="24"/>
      <c r="J45" s="24"/>
      <c r="K45" s="24"/>
      <c r="L45" s="24"/>
      <c r="M45" s="24"/>
      <c r="N45" s="24"/>
      <c r="O45" s="24"/>
      <c r="P45" s="24"/>
    </row>
    <row r="46" spans="6:16" ht="15" x14ac:dyDescent="0.25">
      <c r="F46" s="115"/>
      <c r="H46" s="24"/>
      <c r="I46" s="24"/>
      <c r="J46" s="24"/>
      <c r="K46" s="24"/>
      <c r="L46" s="24"/>
      <c r="M46" s="24"/>
      <c r="N46" s="24"/>
      <c r="O46" s="24"/>
      <c r="P46" s="24"/>
    </row>
    <row r="47" spans="6:16" ht="15" x14ac:dyDescent="0.25">
      <c r="F47" s="115"/>
      <c r="H47" s="24"/>
      <c r="I47" s="24"/>
      <c r="J47" s="24"/>
      <c r="K47" s="24"/>
      <c r="L47" s="24"/>
      <c r="M47" s="24"/>
      <c r="N47" s="24"/>
      <c r="O47" s="24"/>
      <c r="P47" s="24"/>
    </row>
    <row r="48" spans="6:16" ht="15" x14ac:dyDescent="0.25">
      <c r="F48" s="115"/>
      <c r="H48" s="24"/>
      <c r="I48" s="24"/>
      <c r="J48" s="24"/>
      <c r="K48" s="24"/>
      <c r="L48" s="24"/>
      <c r="M48" s="24"/>
      <c r="N48" s="24"/>
      <c r="O48" s="24"/>
      <c r="P48" s="24"/>
    </row>
    <row r="49" spans="6:16" ht="15" x14ac:dyDescent="0.25">
      <c r="F49" s="115"/>
      <c r="H49" s="24"/>
      <c r="I49" s="24"/>
      <c r="J49" s="24"/>
      <c r="K49" s="24"/>
      <c r="L49" s="24"/>
      <c r="M49" s="24"/>
      <c r="N49" s="24"/>
      <c r="O49" s="24"/>
      <c r="P49" s="24"/>
    </row>
    <row r="50" spans="6:16" ht="15" x14ac:dyDescent="0.25">
      <c r="F50" s="115"/>
      <c r="H50" s="24"/>
      <c r="I50" s="24"/>
      <c r="J50" s="24"/>
      <c r="K50" s="24"/>
      <c r="L50" s="24"/>
      <c r="M50" s="24"/>
      <c r="N50" s="24"/>
      <c r="O50" s="24"/>
      <c r="P50" s="24"/>
    </row>
    <row r="51" spans="6:16" ht="15" x14ac:dyDescent="0.25">
      <c r="F51" s="115"/>
      <c r="H51" s="24"/>
      <c r="I51" s="24"/>
      <c r="J51" s="24"/>
      <c r="K51" s="24"/>
      <c r="L51" s="24"/>
      <c r="M51" s="24"/>
      <c r="N51" s="24"/>
      <c r="O51" s="24"/>
      <c r="P51" s="24"/>
    </row>
    <row r="52" spans="6:16" ht="15" x14ac:dyDescent="0.25">
      <c r="F52" s="115"/>
      <c r="H52" s="24"/>
      <c r="I52" s="24"/>
      <c r="J52" s="24"/>
      <c r="K52" s="24"/>
      <c r="L52" s="24"/>
      <c r="M52" s="24"/>
      <c r="N52" s="24"/>
      <c r="O52" s="24"/>
      <c r="P52" s="24"/>
    </row>
    <row r="53" spans="6:16" ht="15" x14ac:dyDescent="0.25">
      <c r="F53" s="115"/>
      <c r="H53" s="24"/>
      <c r="I53" s="24"/>
      <c r="J53" s="24"/>
      <c r="K53" s="24"/>
      <c r="L53" s="24"/>
      <c r="M53" s="24"/>
      <c r="N53" s="24"/>
      <c r="O53" s="24"/>
      <c r="P53" s="24"/>
    </row>
    <row r="54" spans="6:16" ht="15" x14ac:dyDescent="0.25">
      <c r="F54" s="115"/>
      <c r="H54" s="24"/>
      <c r="I54" s="24"/>
      <c r="J54" s="24"/>
      <c r="K54" s="24"/>
      <c r="L54" s="24"/>
      <c r="M54" s="24"/>
      <c r="N54" s="24"/>
      <c r="O54" s="24"/>
      <c r="P54" s="24"/>
    </row>
    <row r="55" spans="6:16" ht="15" x14ac:dyDescent="0.25">
      <c r="F55" s="115"/>
      <c r="H55" s="24"/>
      <c r="I55" s="24"/>
      <c r="J55" s="24"/>
      <c r="K55" s="24"/>
      <c r="L55" s="24"/>
      <c r="M55" s="24"/>
      <c r="N55" s="24"/>
      <c r="O55" s="24"/>
      <c r="P55" s="24"/>
    </row>
    <row r="56" spans="6:16" ht="15" x14ac:dyDescent="0.25">
      <c r="F56" s="115"/>
      <c r="H56" s="24"/>
      <c r="I56" s="24"/>
      <c r="J56" s="24"/>
      <c r="K56" s="24"/>
      <c r="L56" s="24"/>
      <c r="M56" s="24"/>
      <c r="N56" s="24"/>
      <c r="O56" s="24"/>
      <c r="P56" s="24"/>
    </row>
    <row r="57" spans="6:16" ht="15" x14ac:dyDescent="0.25">
      <c r="F57" s="115"/>
      <c r="H57" s="24"/>
      <c r="I57" s="24"/>
      <c r="J57" s="24"/>
      <c r="K57" s="24"/>
      <c r="L57" s="24"/>
      <c r="M57" s="24"/>
      <c r="N57" s="24"/>
      <c r="O57" s="24"/>
      <c r="P57" s="24"/>
    </row>
    <row r="58" spans="6:16" ht="15" x14ac:dyDescent="0.25">
      <c r="F58" s="115"/>
      <c r="H58" s="24"/>
      <c r="I58" s="24"/>
      <c r="J58" s="24"/>
      <c r="K58" s="24"/>
      <c r="L58" s="24"/>
      <c r="M58" s="24"/>
      <c r="N58" s="24"/>
      <c r="O58" s="24"/>
      <c r="P58" s="24"/>
    </row>
    <row r="59" spans="6:16" ht="15" x14ac:dyDescent="0.25">
      <c r="F59" s="115"/>
      <c r="H59" s="24"/>
      <c r="I59" s="24"/>
      <c r="J59" s="24"/>
      <c r="K59" s="24"/>
      <c r="L59" s="24"/>
      <c r="M59" s="24"/>
      <c r="N59" s="24"/>
      <c r="O59" s="24"/>
      <c r="P59" s="24"/>
    </row>
    <row r="60" spans="6:16" ht="15" x14ac:dyDescent="0.25">
      <c r="F60" s="115"/>
      <c r="H60" s="24"/>
      <c r="I60" s="24"/>
      <c r="J60" s="24"/>
      <c r="K60" s="24"/>
      <c r="L60" s="24"/>
      <c r="M60" s="24"/>
      <c r="N60" s="24"/>
      <c r="O60" s="24"/>
      <c r="P60" s="24"/>
    </row>
    <row r="61" spans="6:16" ht="15" x14ac:dyDescent="0.25">
      <c r="F61" s="115"/>
      <c r="H61" s="24"/>
      <c r="I61" s="24"/>
      <c r="J61" s="24"/>
      <c r="K61" s="24"/>
      <c r="L61" s="24"/>
      <c r="M61" s="24"/>
      <c r="N61" s="24"/>
      <c r="O61" s="24"/>
      <c r="P61" s="24"/>
    </row>
    <row r="62" spans="6:16" ht="15" x14ac:dyDescent="0.25">
      <c r="F62" s="115"/>
      <c r="H62" s="24"/>
      <c r="I62" s="24"/>
      <c r="J62" s="24"/>
      <c r="K62" s="24"/>
      <c r="L62" s="24"/>
      <c r="M62" s="24"/>
      <c r="N62" s="24"/>
      <c r="O62" s="24"/>
      <c r="P62" s="24"/>
    </row>
    <row r="63" spans="6:16" ht="15" x14ac:dyDescent="0.25">
      <c r="F63" s="115"/>
      <c r="H63" s="24"/>
      <c r="I63" s="24"/>
      <c r="J63" s="24"/>
      <c r="K63" s="24"/>
      <c r="L63" s="24"/>
      <c r="M63" s="24"/>
      <c r="N63" s="24"/>
      <c r="O63" s="24"/>
      <c r="P63" s="24"/>
    </row>
    <row r="64" spans="6:16" ht="15" x14ac:dyDescent="0.25">
      <c r="F64" s="115"/>
      <c r="H64" s="24"/>
      <c r="I64" s="24"/>
      <c r="J64" s="24"/>
      <c r="K64" s="24"/>
      <c r="L64" s="24"/>
      <c r="M64" s="24"/>
      <c r="N64" s="24"/>
      <c r="O64" s="24"/>
      <c r="P64" s="24"/>
    </row>
    <row r="65" spans="6:16" ht="15" x14ac:dyDescent="0.25">
      <c r="F65" s="115"/>
      <c r="H65" s="24"/>
      <c r="I65" s="24"/>
      <c r="J65" s="24"/>
      <c r="K65" s="24"/>
      <c r="L65" s="24"/>
      <c r="M65" s="24"/>
      <c r="N65" s="24"/>
      <c r="O65" s="24"/>
      <c r="P65" s="24"/>
    </row>
    <row r="66" spans="6:16" ht="15" x14ac:dyDescent="0.25">
      <c r="F66" s="115"/>
      <c r="H66" s="24"/>
      <c r="I66" s="24"/>
      <c r="J66" s="24"/>
      <c r="K66" s="24"/>
      <c r="L66" s="24"/>
      <c r="M66" s="24"/>
      <c r="N66" s="24"/>
      <c r="O66" s="24"/>
      <c r="P66" s="24"/>
    </row>
    <row r="67" spans="6:16" ht="15" x14ac:dyDescent="0.25">
      <c r="F67" s="115"/>
      <c r="H67" s="24"/>
      <c r="I67" s="24"/>
      <c r="J67" s="24"/>
      <c r="K67" s="24"/>
      <c r="L67" s="24"/>
      <c r="M67" s="24"/>
      <c r="N67" s="24"/>
      <c r="O67" s="24"/>
      <c r="P67" s="24"/>
    </row>
    <row r="68" spans="6:16" ht="15" x14ac:dyDescent="0.25">
      <c r="F68" s="115"/>
      <c r="H68" s="24"/>
      <c r="I68" s="24"/>
      <c r="J68" s="24"/>
      <c r="K68" s="24"/>
      <c r="L68" s="24"/>
      <c r="M68" s="24"/>
      <c r="N68" s="24"/>
      <c r="O68" s="24"/>
      <c r="P68" s="24"/>
    </row>
    <row r="69" spans="6:16" ht="15" x14ac:dyDescent="0.25">
      <c r="F69" s="115"/>
      <c r="H69" s="24"/>
      <c r="I69" s="24"/>
      <c r="J69" s="24"/>
      <c r="K69" s="24"/>
      <c r="L69" s="24"/>
      <c r="M69" s="24"/>
      <c r="N69" s="24"/>
      <c r="O69" s="24"/>
      <c r="P69" s="24"/>
    </row>
    <row r="70" spans="6:16" ht="15" x14ac:dyDescent="0.25">
      <c r="F70" s="115"/>
      <c r="H70" s="24"/>
      <c r="I70" s="24"/>
      <c r="J70" s="24"/>
      <c r="K70" s="24"/>
      <c r="L70" s="24"/>
      <c r="M70" s="24"/>
      <c r="N70" s="24"/>
      <c r="O70" s="24"/>
      <c r="P70" s="24"/>
    </row>
    <row r="71" spans="6:16" ht="15" x14ac:dyDescent="0.25">
      <c r="F71" s="115"/>
      <c r="H71" s="24"/>
      <c r="I71" s="24"/>
      <c r="J71" s="24"/>
      <c r="K71" s="24"/>
      <c r="L71" s="24"/>
      <c r="M71" s="24"/>
      <c r="N71" s="24"/>
      <c r="O71" s="24"/>
      <c r="P71" s="24"/>
    </row>
    <row r="72" spans="6:16" ht="15" x14ac:dyDescent="0.25">
      <c r="F72" s="115"/>
      <c r="H72" s="24"/>
      <c r="I72" s="24"/>
      <c r="J72" s="24"/>
      <c r="K72" s="24"/>
      <c r="L72" s="24"/>
      <c r="M72" s="24"/>
      <c r="N72" s="24"/>
      <c r="O72" s="24"/>
      <c r="P72" s="24"/>
    </row>
    <row r="73" spans="6:16" ht="15" x14ac:dyDescent="0.25">
      <c r="F73" s="115"/>
      <c r="H73" s="24"/>
      <c r="I73" s="24"/>
      <c r="J73" s="24"/>
      <c r="K73" s="24"/>
      <c r="L73" s="24"/>
      <c r="M73" s="24"/>
      <c r="N73" s="24"/>
      <c r="O73" s="24"/>
      <c r="P73" s="24"/>
    </row>
    <row r="74" spans="6:16" ht="15" x14ac:dyDescent="0.25">
      <c r="F74" s="115"/>
      <c r="H74" s="24"/>
      <c r="I74" s="24"/>
      <c r="J74" s="24"/>
      <c r="K74" s="24"/>
      <c r="L74" s="24"/>
      <c r="M74" s="24"/>
      <c r="N74" s="24"/>
      <c r="O74" s="24"/>
      <c r="P74" s="24"/>
    </row>
    <row r="75" spans="6:16" ht="15" x14ac:dyDescent="0.25">
      <c r="F75" s="115"/>
      <c r="H75" s="24"/>
      <c r="I75" s="24"/>
      <c r="J75" s="24"/>
      <c r="K75" s="24"/>
      <c r="L75" s="24"/>
      <c r="M75" s="24"/>
      <c r="N75" s="24"/>
      <c r="O75" s="24"/>
      <c r="P75" s="24"/>
    </row>
    <row r="76" spans="6:16" ht="15" x14ac:dyDescent="0.25">
      <c r="F76" s="115"/>
      <c r="H76" s="24"/>
      <c r="I76" s="24"/>
      <c r="J76" s="24"/>
      <c r="K76" s="24"/>
      <c r="L76" s="24"/>
      <c r="M76" s="24"/>
      <c r="N76" s="24"/>
      <c r="O76" s="24"/>
      <c r="P76" s="24"/>
    </row>
    <row r="77" spans="6:16" ht="15" x14ac:dyDescent="0.25">
      <c r="F77" s="115"/>
      <c r="H77" s="24"/>
      <c r="I77" s="24"/>
      <c r="J77" s="24"/>
      <c r="K77" s="24"/>
      <c r="L77" s="24"/>
      <c r="M77" s="24"/>
      <c r="N77" s="24"/>
      <c r="O77" s="24"/>
      <c r="P77" s="24"/>
    </row>
    <row r="78" spans="6:16" ht="15" x14ac:dyDescent="0.25">
      <c r="F78" s="115"/>
      <c r="H78" s="24"/>
      <c r="I78" s="24"/>
      <c r="J78" s="24"/>
      <c r="K78" s="24"/>
      <c r="L78" s="24"/>
      <c r="M78" s="24"/>
      <c r="N78" s="24"/>
      <c r="O78" s="24"/>
      <c r="P78" s="24"/>
    </row>
    <row r="79" spans="6:16" ht="15" x14ac:dyDescent="0.25">
      <c r="F79" s="115"/>
      <c r="H79" s="24"/>
      <c r="I79" s="24"/>
      <c r="J79" s="24"/>
      <c r="K79" s="24"/>
      <c r="L79" s="24"/>
      <c r="M79" s="24"/>
      <c r="N79" s="24"/>
      <c r="O79" s="24"/>
      <c r="P79" s="24"/>
    </row>
    <row r="80" spans="6:16" ht="15" x14ac:dyDescent="0.25">
      <c r="F80" s="115"/>
      <c r="H80" s="24"/>
      <c r="I80" s="24"/>
      <c r="J80" s="24"/>
      <c r="K80" s="24"/>
      <c r="L80" s="24"/>
      <c r="M80" s="24"/>
      <c r="N80" s="24"/>
      <c r="O80" s="24"/>
      <c r="P80" s="24"/>
    </row>
    <row r="81" spans="6:16" ht="15" x14ac:dyDescent="0.25">
      <c r="F81" s="115"/>
      <c r="H81" s="24"/>
      <c r="I81" s="24"/>
      <c r="J81" s="24"/>
      <c r="K81" s="24"/>
      <c r="L81" s="24"/>
      <c r="M81" s="24"/>
      <c r="N81" s="24"/>
      <c r="O81" s="24"/>
      <c r="P81" s="24"/>
    </row>
    <row r="82" spans="6:16" ht="15" x14ac:dyDescent="0.25">
      <c r="F82" s="115"/>
      <c r="H82" s="24"/>
      <c r="I82" s="24"/>
      <c r="J82" s="24"/>
      <c r="K82" s="24"/>
      <c r="L82" s="24"/>
      <c r="M82" s="24"/>
      <c r="N82" s="24"/>
      <c r="O82" s="24"/>
      <c r="P82" s="24"/>
    </row>
    <row r="83" spans="6:16" ht="15" x14ac:dyDescent="0.25">
      <c r="F83" s="115"/>
      <c r="H83" s="24"/>
      <c r="I83" s="24"/>
      <c r="J83" s="24"/>
      <c r="K83" s="24"/>
      <c r="L83" s="24"/>
      <c r="M83" s="24"/>
      <c r="N83" s="24"/>
      <c r="O83" s="24"/>
      <c r="P83" s="24"/>
    </row>
    <row r="84" spans="6:16" ht="15" x14ac:dyDescent="0.25">
      <c r="F84" s="115"/>
      <c r="H84" s="24"/>
      <c r="I84" s="24"/>
      <c r="J84" s="24"/>
      <c r="K84" s="24"/>
      <c r="L84" s="24"/>
      <c r="M84" s="24"/>
      <c r="N84" s="24"/>
      <c r="O84" s="24"/>
      <c r="P84" s="24"/>
    </row>
    <row r="85" spans="6:16" ht="15" x14ac:dyDescent="0.25">
      <c r="F85" s="115"/>
      <c r="H85" s="24"/>
      <c r="I85" s="24"/>
      <c r="J85" s="24"/>
      <c r="K85" s="24"/>
      <c r="L85" s="24"/>
      <c r="M85" s="24"/>
      <c r="N85" s="24"/>
      <c r="O85" s="24"/>
      <c r="P85" s="24"/>
    </row>
    <row r="86" spans="6:16" ht="15" x14ac:dyDescent="0.25">
      <c r="F86" s="115"/>
      <c r="H86" s="24"/>
      <c r="I86" s="24"/>
      <c r="J86" s="24"/>
      <c r="K86" s="24"/>
      <c r="L86" s="24"/>
      <c r="M86" s="24"/>
      <c r="N86" s="24"/>
      <c r="O86" s="24"/>
      <c r="P86" s="24"/>
    </row>
    <row r="87" spans="6:16" ht="15" x14ac:dyDescent="0.25">
      <c r="F87" s="115"/>
      <c r="H87" s="24"/>
      <c r="I87" s="24"/>
      <c r="J87" s="24"/>
      <c r="K87" s="24"/>
      <c r="L87" s="24"/>
      <c r="M87" s="24"/>
      <c r="N87" s="24"/>
      <c r="O87" s="24"/>
      <c r="P87" s="24"/>
    </row>
    <row r="88" spans="6:16" ht="15" x14ac:dyDescent="0.25">
      <c r="F88" s="115"/>
      <c r="H88" s="24"/>
      <c r="I88" s="24"/>
      <c r="J88" s="24"/>
      <c r="K88" s="24"/>
      <c r="L88" s="24"/>
      <c r="M88" s="24"/>
      <c r="N88" s="24"/>
      <c r="O88" s="24"/>
      <c r="P88" s="24"/>
    </row>
    <row r="89" spans="6:16" ht="15" x14ac:dyDescent="0.25">
      <c r="F89" s="115"/>
      <c r="H89" s="24"/>
      <c r="I89" s="24"/>
      <c r="J89" s="24"/>
      <c r="K89" s="24"/>
      <c r="L89" s="24"/>
      <c r="M89" s="24"/>
      <c r="N89" s="24"/>
      <c r="O89" s="24"/>
      <c r="P89" s="24"/>
    </row>
    <row r="90" spans="6:16" ht="15" x14ac:dyDescent="0.25">
      <c r="F90" s="115"/>
      <c r="H90" s="24"/>
      <c r="I90" s="24"/>
      <c r="J90" s="24"/>
      <c r="K90" s="24"/>
      <c r="L90" s="24"/>
      <c r="M90" s="24"/>
      <c r="N90" s="24"/>
      <c r="O90" s="24"/>
      <c r="P90" s="24"/>
    </row>
    <row r="91" spans="6:16" ht="15" x14ac:dyDescent="0.25">
      <c r="F91" s="115"/>
      <c r="H91" s="24"/>
      <c r="I91" s="24"/>
      <c r="J91" s="24"/>
      <c r="K91" s="24"/>
      <c r="L91" s="24"/>
      <c r="M91" s="24"/>
      <c r="N91" s="24"/>
      <c r="O91" s="24"/>
      <c r="P91" s="24"/>
    </row>
    <row r="92" spans="6:16" ht="15" x14ac:dyDescent="0.25">
      <c r="F92" s="115"/>
      <c r="H92" s="24"/>
      <c r="I92" s="24"/>
      <c r="J92" s="24"/>
      <c r="K92" s="24"/>
      <c r="L92" s="24"/>
      <c r="M92" s="24"/>
      <c r="N92" s="24"/>
      <c r="O92" s="24"/>
      <c r="P92" s="24"/>
    </row>
    <row r="93" spans="6:16" ht="15" x14ac:dyDescent="0.25">
      <c r="F93" s="115"/>
      <c r="H93" s="24"/>
      <c r="I93" s="24"/>
      <c r="J93" s="24"/>
      <c r="K93" s="24"/>
      <c r="L93" s="24"/>
      <c r="M93" s="24"/>
      <c r="N93" s="24"/>
      <c r="O93" s="24"/>
      <c r="P93" s="24"/>
    </row>
    <row r="94" spans="6:16" ht="15" x14ac:dyDescent="0.25">
      <c r="F94" s="115"/>
      <c r="H94" s="24"/>
      <c r="I94" s="24"/>
      <c r="J94" s="24"/>
      <c r="K94" s="24"/>
      <c r="L94" s="24"/>
      <c r="M94" s="24"/>
      <c r="N94" s="24"/>
      <c r="O94" s="24"/>
      <c r="P94" s="24"/>
    </row>
    <row r="95" spans="6:16" ht="15" x14ac:dyDescent="0.25">
      <c r="F95" s="115"/>
      <c r="H95" s="24"/>
      <c r="I95" s="24"/>
      <c r="J95" s="24"/>
      <c r="K95" s="24"/>
      <c r="L95" s="24"/>
      <c r="M95" s="24"/>
      <c r="N95" s="24"/>
      <c r="O95" s="24"/>
      <c r="P95" s="24"/>
    </row>
    <row r="96" spans="6:16" ht="15" x14ac:dyDescent="0.25">
      <c r="F96" s="115"/>
      <c r="H96" s="24"/>
      <c r="I96" s="24"/>
      <c r="J96" s="24"/>
      <c r="K96" s="24"/>
      <c r="L96" s="24"/>
      <c r="M96" s="24"/>
      <c r="N96" s="24"/>
      <c r="O96" s="24"/>
      <c r="P96" s="24"/>
    </row>
    <row r="97" spans="6:16" ht="15" x14ac:dyDescent="0.25">
      <c r="F97" s="115"/>
      <c r="H97" s="24"/>
      <c r="I97" s="24"/>
      <c r="J97" s="24"/>
      <c r="K97" s="24"/>
      <c r="L97" s="24"/>
      <c r="M97" s="24"/>
      <c r="N97" s="24"/>
      <c r="O97" s="24"/>
      <c r="P97" s="24"/>
    </row>
    <row r="98" spans="6:16" ht="15" x14ac:dyDescent="0.25">
      <c r="F98" s="115"/>
      <c r="H98" s="24"/>
      <c r="I98" s="24"/>
      <c r="J98" s="24"/>
      <c r="K98" s="24"/>
      <c r="L98" s="24"/>
      <c r="M98" s="24"/>
      <c r="N98" s="24"/>
      <c r="O98" s="24"/>
      <c r="P98" s="24"/>
    </row>
    <row r="99" spans="6:16" ht="15" x14ac:dyDescent="0.25">
      <c r="F99" s="115"/>
      <c r="H99" s="24"/>
      <c r="I99" s="24"/>
      <c r="J99" s="24"/>
      <c r="K99" s="24"/>
      <c r="L99" s="24"/>
      <c r="M99" s="24"/>
      <c r="N99" s="24"/>
      <c r="O99" s="24"/>
      <c r="P99" s="24"/>
    </row>
    <row r="100" spans="6:16" ht="15" x14ac:dyDescent="0.25">
      <c r="F100" s="115"/>
      <c r="H100" s="24"/>
      <c r="I100" s="24"/>
      <c r="J100" s="24"/>
      <c r="K100" s="24"/>
      <c r="L100" s="24"/>
      <c r="M100" s="24"/>
      <c r="N100" s="24"/>
      <c r="O100" s="24"/>
      <c r="P100" s="24"/>
    </row>
    <row r="101" spans="6:16" ht="15" x14ac:dyDescent="0.25">
      <c r="F101" s="115"/>
      <c r="H101" s="24"/>
      <c r="I101" s="24"/>
      <c r="J101" s="24"/>
      <c r="K101" s="24"/>
      <c r="L101" s="24"/>
      <c r="M101" s="24"/>
      <c r="N101" s="24"/>
      <c r="O101" s="24"/>
      <c r="P101" s="24"/>
    </row>
    <row r="102" spans="6:16" ht="15" x14ac:dyDescent="0.25">
      <c r="F102" s="115"/>
      <c r="H102" s="24"/>
      <c r="I102" s="24"/>
      <c r="J102" s="24"/>
      <c r="K102" s="24"/>
      <c r="L102" s="24"/>
      <c r="M102" s="24"/>
      <c r="N102" s="24"/>
      <c r="O102" s="24"/>
      <c r="P102" s="24"/>
    </row>
    <row r="103" spans="6:16" ht="15" x14ac:dyDescent="0.25">
      <c r="F103" s="115"/>
      <c r="H103" s="24"/>
      <c r="I103" s="24"/>
      <c r="J103" s="24"/>
      <c r="K103" s="24"/>
      <c r="L103" s="24"/>
      <c r="M103" s="24"/>
      <c r="N103" s="24"/>
      <c r="O103" s="24"/>
      <c r="P103" s="24"/>
    </row>
    <row r="104" spans="6:16" ht="15" x14ac:dyDescent="0.25">
      <c r="F104" s="115"/>
      <c r="H104" s="24"/>
      <c r="I104" s="24"/>
      <c r="J104" s="24"/>
      <c r="K104" s="24"/>
      <c r="L104" s="24"/>
      <c r="M104" s="24"/>
      <c r="N104" s="24"/>
      <c r="O104" s="24"/>
      <c r="P104" s="24"/>
    </row>
    <row r="105" spans="6:16" ht="15" x14ac:dyDescent="0.25">
      <c r="F105" s="115"/>
      <c r="H105" s="24"/>
      <c r="I105" s="24"/>
      <c r="J105" s="24"/>
      <c r="K105" s="24"/>
      <c r="L105" s="24"/>
      <c r="M105" s="24"/>
      <c r="N105" s="24"/>
      <c r="O105" s="24"/>
      <c r="P105" s="24"/>
    </row>
    <row r="106" spans="6:16" ht="15" x14ac:dyDescent="0.25">
      <c r="F106" s="115"/>
      <c r="H106" s="24"/>
      <c r="I106" s="24"/>
      <c r="J106" s="24"/>
      <c r="K106" s="24"/>
      <c r="L106" s="24"/>
      <c r="M106" s="24"/>
      <c r="N106" s="24"/>
      <c r="O106" s="24"/>
      <c r="P106" s="24"/>
    </row>
    <row r="107" spans="6:16" ht="15" x14ac:dyDescent="0.25">
      <c r="F107" s="115"/>
      <c r="H107" s="24"/>
      <c r="I107" s="24"/>
      <c r="J107" s="24"/>
      <c r="K107" s="24"/>
      <c r="L107" s="24"/>
      <c r="M107" s="24"/>
      <c r="N107" s="24"/>
      <c r="O107" s="24"/>
      <c r="P107" s="24"/>
    </row>
    <row r="108" spans="6:16" ht="15" x14ac:dyDescent="0.25">
      <c r="F108" s="115"/>
      <c r="H108" s="24"/>
      <c r="I108" s="24"/>
      <c r="J108" s="24"/>
      <c r="K108" s="24"/>
      <c r="L108" s="24"/>
      <c r="M108" s="24"/>
      <c r="N108" s="24"/>
      <c r="O108" s="24"/>
      <c r="P108" s="24"/>
    </row>
    <row r="109" spans="6:16" ht="15" x14ac:dyDescent="0.25">
      <c r="F109" s="115"/>
      <c r="H109" s="24"/>
      <c r="I109" s="24"/>
      <c r="J109" s="24"/>
      <c r="K109" s="24"/>
      <c r="L109" s="24"/>
      <c r="M109" s="24"/>
      <c r="N109" s="24"/>
      <c r="O109" s="24"/>
      <c r="P109" s="24"/>
    </row>
    <row r="110" spans="6:16" ht="15" x14ac:dyDescent="0.25">
      <c r="F110" s="115"/>
      <c r="H110" s="24"/>
      <c r="I110" s="24"/>
      <c r="J110" s="24"/>
      <c r="K110" s="24"/>
      <c r="L110" s="24"/>
      <c r="M110" s="24"/>
      <c r="N110" s="24"/>
      <c r="O110" s="24"/>
      <c r="P110" s="24"/>
    </row>
    <row r="111" spans="6:16" ht="15" x14ac:dyDescent="0.25">
      <c r="F111" s="115"/>
      <c r="H111" s="24"/>
      <c r="I111" s="24"/>
      <c r="J111" s="24"/>
      <c r="K111" s="24"/>
      <c r="L111" s="24"/>
      <c r="M111" s="24"/>
      <c r="N111" s="24"/>
      <c r="O111" s="24"/>
      <c r="P111" s="24"/>
    </row>
    <row r="112" spans="6:16" ht="15" x14ac:dyDescent="0.25">
      <c r="F112" s="115"/>
      <c r="H112" s="24"/>
      <c r="I112" s="24"/>
      <c r="J112" s="24"/>
      <c r="K112" s="24"/>
      <c r="L112" s="24"/>
      <c r="M112" s="24"/>
      <c r="N112" s="24"/>
      <c r="O112" s="24"/>
      <c r="P112" s="24"/>
    </row>
    <row r="113" spans="6:16" ht="15" x14ac:dyDescent="0.25">
      <c r="F113" s="115"/>
      <c r="H113" s="24"/>
      <c r="I113" s="24"/>
      <c r="J113" s="24"/>
      <c r="K113" s="24"/>
      <c r="L113" s="24"/>
      <c r="M113" s="24"/>
      <c r="N113" s="24"/>
      <c r="O113" s="24"/>
      <c r="P113" s="24"/>
    </row>
    <row r="114" spans="6:16" ht="15" x14ac:dyDescent="0.25">
      <c r="F114" s="115"/>
      <c r="H114" s="24"/>
      <c r="I114" s="24"/>
      <c r="J114" s="24"/>
      <c r="K114" s="24"/>
      <c r="L114" s="24"/>
      <c r="M114" s="24"/>
      <c r="N114" s="24"/>
      <c r="O114" s="24"/>
      <c r="P114" s="24"/>
    </row>
    <row r="115" spans="6:16" ht="15" x14ac:dyDescent="0.25">
      <c r="F115" s="115"/>
      <c r="H115" s="24"/>
      <c r="I115" s="24"/>
      <c r="J115" s="24"/>
      <c r="K115" s="24"/>
      <c r="L115" s="24"/>
      <c r="M115" s="24"/>
      <c r="N115" s="24"/>
      <c r="O115" s="24"/>
      <c r="P115" s="24"/>
    </row>
    <row r="116" spans="6:16" ht="15" x14ac:dyDescent="0.25">
      <c r="F116" s="115"/>
      <c r="H116" s="24"/>
      <c r="I116" s="24"/>
      <c r="J116" s="24"/>
      <c r="K116" s="24"/>
      <c r="L116" s="24"/>
      <c r="M116" s="24"/>
      <c r="N116" s="24"/>
      <c r="O116" s="24"/>
      <c r="P116" s="24"/>
    </row>
    <row r="117" spans="6:16" ht="15" x14ac:dyDescent="0.25">
      <c r="F117" s="115"/>
      <c r="H117" s="24"/>
      <c r="I117" s="24"/>
      <c r="J117" s="24"/>
      <c r="K117" s="24"/>
      <c r="L117" s="24"/>
      <c r="M117" s="24"/>
      <c r="N117" s="24"/>
      <c r="O117" s="24"/>
      <c r="P117" s="24"/>
    </row>
    <row r="118" spans="6:16" ht="15" x14ac:dyDescent="0.25">
      <c r="F118" s="115"/>
      <c r="H118" s="24"/>
      <c r="I118" s="24"/>
      <c r="J118" s="24"/>
      <c r="K118" s="24"/>
      <c r="L118" s="24"/>
      <c r="M118" s="24"/>
      <c r="N118" s="24"/>
      <c r="O118" s="24"/>
      <c r="P118" s="24"/>
    </row>
    <row r="119" spans="6:16" ht="15" x14ac:dyDescent="0.25">
      <c r="F119" s="115"/>
      <c r="H119" s="24"/>
      <c r="I119" s="24"/>
      <c r="J119" s="24"/>
      <c r="K119" s="24"/>
      <c r="L119" s="24"/>
      <c r="M119" s="24"/>
      <c r="N119" s="24"/>
      <c r="O119" s="24"/>
      <c r="P119" s="24"/>
    </row>
    <row r="120" spans="6:16" ht="15" x14ac:dyDescent="0.25">
      <c r="F120" s="115"/>
      <c r="H120" s="24"/>
      <c r="I120" s="24"/>
      <c r="J120" s="24"/>
      <c r="K120" s="24"/>
      <c r="L120" s="24"/>
      <c r="M120" s="24"/>
      <c r="N120" s="24"/>
      <c r="O120" s="24"/>
      <c r="P120" s="24"/>
    </row>
    <row r="121" spans="6:16" ht="15" x14ac:dyDescent="0.25">
      <c r="F121" s="115"/>
      <c r="H121" s="24"/>
      <c r="I121" s="24"/>
      <c r="J121" s="24"/>
      <c r="K121" s="24"/>
      <c r="L121" s="24"/>
      <c r="M121" s="24"/>
      <c r="N121" s="24"/>
      <c r="O121" s="24"/>
      <c r="P121" s="24"/>
    </row>
    <row r="122" spans="6:16" ht="15" x14ac:dyDescent="0.25">
      <c r="F122" s="115"/>
      <c r="H122" s="24"/>
      <c r="I122" s="24"/>
      <c r="J122" s="24"/>
      <c r="K122" s="24"/>
      <c r="L122" s="24"/>
      <c r="M122" s="24"/>
      <c r="N122" s="24"/>
      <c r="O122" s="24"/>
      <c r="P122" s="24"/>
    </row>
    <row r="123" spans="6:16" ht="15" x14ac:dyDescent="0.25">
      <c r="F123" s="115"/>
      <c r="H123" s="24"/>
      <c r="I123" s="24"/>
      <c r="J123" s="24"/>
      <c r="K123" s="24"/>
      <c r="L123" s="24"/>
      <c r="M123" s="24"/>
      <c r="N123" s="24"/>
      <c r="O123" s="24"/>
      <c r="P123" s="24"/>
    </row>
    <row r="124" spans="6:16" ht="15" x14ac:dyDescent="0.25">
      <c r="F124" s="115"/>
      <c r="H124" s="24"/>
      <c r="I124" s="24"/>
      <c r="J124" s="24"/>
      <c r="K124" s="24"/>
      <c r="L124" s="24"/>
      <c r="M124" s="24"/>
      <c r="N124" s="24"/>
      <c r="O124" s="24"/>
      <c r="P124" s="24"/>
    </row>
    <row r="125" spans="6:16" ht="15" x14ac:dyDescent="0.25">
      <c r="F125" s="115"/>
      <c r="H125" s="24"/>
      <c r="I125" s="24"/>
      <c r="J125" s="24"/>
      <c r="K125" s="24"/>
      <c r="L125" s="24"/>
      <c r="M125" s="24"/>
      <c r="N125" s="24"/>
      <c r="O125" s="24"/>
      <c r="P125" s="24"/>
    </row>
    <row r="126" spans="6:16" ht="15" x14ac:dyDescent="0.25">
      <c r="F126" s="115"/>
      <c r="H126" s="24"/>
      <c r="I126" s="24"/>
      <c r="J126" s="24"/>
      <c r="K126" s="24"/>
      <c r="L126" s="24"/>
      <c r="M126" s="24"/>
      <c r="N126" s="24"/>
      <c r="O126" s="24"/>
      <c r="P126" s="24"/>
    </row>
    <row r="127" spans="6:16" ht="15" x14ac:dyDescent="0.25">
      <c r="F127" s="115"/>
      <c r="H127" s="24"/>
      <c r="I127" s="24"/>
      <c r="J127" s="24"/>
      <c r="K127" s="24"/>
      <c r="L127" s="24"/>
      <c r="M127" s="24"/>
      <c r="N127" s="24"/>
      <c r="O127" s="24"/>
      <c r="P127" s="24"/>
    </row>
    <row r="128" spans="6:16" ht="15" x14ac:dyDescent="0.25">
      <c r="F128" s="115"/>
      <c r="H128" s="24"/>
      <c r="I128" s="24"/>
      <c r="J128" s="24"/>
      <c r="K128" s="24"/>
      <c r="L128" s="24"/>
      <c r="M128" s="24"/>
      <c r="N128" s="24"/>
      <c r="O128" s="24"/>
      <c r="P128" s="24"/>
    </row>
    <row r="129" spans="6:16" ht="15" x14ac:dyDescent="0.25">
      <c r="F129" s="115"/>
      <c r="H129" s="24"/>
      <c r="I129" s="24"/>
      <c r="J129" s="24"/>
      <c r="K129" s="24"/>
      <c r="L129" s="24"/>
      <c r="M129" s="24"/>
      <c r="N129" s="24"/>
      <c r="O129" s="24"/>
      <c r="P129" s="24"/>
    </row>
    <row r="130" spans="6:16" ht="15" x14ac:dyDescent="0.25">
      <c r="F130" s="115"/>
      <c r="H130" s="24"/>
      <c r="I130" s="24"/>
      <c r="J130" s="24"/>
      <c r="K130" s="24"/>
      <c r="L130" s="24"/>
      <c r="M130" s="24"/>
      <c r="N130" s="24"/>
      <c r="O130" s="24"/>
      <c r="P130" s="24"/>
    </row>
    <row r="131" spans="6:16" ht="15" x14ac:dyDescent="0.25">
      <c r="F131" s="115"/>
      <c r="H131" s="24"/>
      <c r="I131" s="24"/>
      <c r="J131" s="24"/>
      <c r="K131" s="24"/>
      <c r="L131" s="24"/>
      <c r="M131" s="24"/>
      <c r="N131" s="24"/>
      <c r="O131" s="24"/>
      <c r="P131" s="24"/>
    </row>
    <row r="132" spans="6:16" ht="15" x14ac:dyDescent="0.25">
      <c r="F132" s="115"/>
      <c r="H132" s="24"/>
      <c r="I132" s="24"/>
      <c r="J132" s="24"/>
      <c r="K132" s="24"/>
      <c r="L132" s="24"/>
      <c r="M132" s="24"/>
      <c r="N132" s="24"/>
      <c r="O132" s="24"/>
      <c r="P132" s="24"/>
    </row>
    <row r="133" spans="6:16" ht="15" x14ac:dyDescent="0.25">
      <c r="F133" s="115"/>
      <c r="H133" s="24"/>
      <c r="I133" s="24"/>
      <c r="J133" s="24"/>
      <c r="K133" s="24"/>
      <c r="L133" s="24"/>
      <c r="M133" s="24"/>
      <c r="N133" s="24"/>
      <c r="O133" s="24"/>
      <c r="P133" s="24"/>
    </row>
    <row r="134" spans="6:16" ht="15" x14ac:dyDescent="0.25">
      <c r="F134" s="115"/>
      <c r="H134" s="24"/>
      <c r="I134" s="24"/>
      <c r="J134" s="24"/>
      <c r="K134" s="24"/>
      <c r="L134" s="24"/>
      <c r="M134" s="24"/>
      <c r="N134" s="24"/>
      <c r="O134" s="24"/>
      <c r="P134" s="24"/>
    </row>
    <row r="135" spans="6:16" ht="15" x14ac:dyDescent="0.25">
      <c r="F135" s="115"/>
      <c r="H135" s="24"/>
      <c r="I135" s="24"/>
      <c r="J135" s="24"/>
      <c r="K135" s="24"/>
      <c r="L135" s="24"/>
      <c r="M135" s="24"/>
      <c r="N135" s="24"/>
      <c r="O135" s="24"/>
      <c r="P135" s="24"/>
    </row>
    <row r="136" spans="6:16" ht="15" x14ac:dyDescent="0.25">
      <c r="F136" s="115"/>
      <c r="H136" s="24"/>
      <c r="I136" s="24"/>
      <c r="J136" s="24"/>
      <c r="K136" s="24"/>
      <c r="L136" s="24"/>
      <c r="M136" s="24"/>
      <c r="N136" s="24"/>
      <c r="O136" s="24"/>
      <c r="P136" s="24"/>
    </row>
    <row r="137" spans="6:16" ht="15" x14ac:dyDescent="0.25">
      <c r="F137" s="115"/>
      <c r="H137" s="24"/>
      <c r="I137" s="24"/>
      <c r="J137" s="24"/>
      <c r="K137" s="24"/>
      <c r="L137" s="24"/>
      <c r="M137" s="24"/>
      <c r="N137" s="24"/>
      <c r="O137" s="24"/>
      <c r="P137" s="24"/>
    </row>
    <row r="138" spans="6:16" ht="15" x14ac:dyDescent="0.25">
      <c r="F138" s="115"/>
      <c r="H138" s="24"/>
      <c r="I138" s="24"/>
      <c r="J138" s="24"/>
      <c r="K138" s="24"/>
      <c r="L138" s="24"/>
      <c r="M138" s="24"/>
      <c r="N138" s="24"/>
      <c r="O138" s="24"/>
      <c r="P138" s="24"/>
    </row>
    <row r="139" spans="6:16" ht="15" x14ac:dyDescent="0.25">
      <c r="F139" s="115"/>
      <c r="H139" s="24"/>
      <c r="I139" s="24"/>
      <c r="J139" s="24"/>
      <c r="K139" s="24"/>
      <c r="L139" s="24"/>
      <c r="M139" s="24"/>
      <c r="N139" s="24"/>
      <c r="O139" s="24"/>
      <c r="P139" s="24"/>
    </row>
    <row r="140" spans="6:16" ht="15" x14ac:dyDescent="0.25">
      <c r="F140" s="115"/>
      <c r="H140" s="24"/>
      <c r="I140" s="24"/>
      <c r="J140" s="24"/>
      <c r="K140" s="24"/>
      <c r="L140" s="24"/>
      <c r="M140" s="24"/>
      <c r="N140" s="24"/>
      <c r="O140" s="24"/>
      <c r="P140" s="24"/>
    </row>
    <row r="141" spans="6:16" ht="15" x14ac:dyDescent="0.25">
      <c r="F141" s="115"/>
      <c r="H141" s="24"/>
      <c r="I141" s="24"/>
      <c r="J141" s="24"/>
      <c r="K141" s="24"/>
      <c r="L141" s="24"/>
      <c r="M141" s="24"/>
      <c r="N141" s="24"/>
      <c r="O141" s="24"/>
      <c r="P141" s="24"/>
    </row>
    <row r="142" spans="6:16" ht="15" x14ac:dyDescent="0.25">
      <c r="F142" s="115"/>
      <c r="H142" s="24"/>
      <c r="I142" s="24"/>
      <c r="J142" s="24"/>
      <c r="K142" s="24"/>
      <c r="L142" s="24"/>
      <c r="M142" s="24"/>
      <c r="N142" s="24"/>
      <c r="O142" s="24"/>
      <c r="P142" s="24"/>
    </row>
    <row r="143" spans="6:16" ht="15" x14ac:dyDescent="0.25">
      <c r="F143" s="115"/>
      <c r="H143" s="24"/>
      <c r="I143" s="24"/>
      <c r="J143" s="24"/>
      <c r="K143" s="24"/>
      <c r="L143" s="24"/>
      <c r="M143" s="24"/>
      <c r="N143" s="24"/>
      <c r="O143" s="24"/>
      <c r="P143" s="24"/>
    </row>
    <row r="144" spans="6:16" ht="15" x14ac:dyDescent="0.25">
      <c r="F144" s="115"/>
      <c r="H144" s="24"/>
      <c r="I144" s="24"/>
      <c r="J144" s="24"/>
      <c r="K144" s="24"/>
      <c r="L144" s="24"/>
      <c r="M144" s="24"/>
      <c r="N144" s="24"/>
      <c r="O144" s="24"/>
      <c r="P144" s="24"/>
    </row>
    <row r="145" spans="6:16" ht="15" x14ac:dyDescent="0.25">
      <c r="F145" s="115"/>
      <c r="H145" s="24"/>
      <c r="I145" s="24"/>
      <c r="J145" s="24"/>
      <c r="K145" s="24"/>
      <c r="L145" s="24"/>
      <c r="M145" s="24"/>
      <c r="N145" s="24"/>
      <c r="O145" s="24"/>
      <c r="P145" s="24"/>
    </row>
    <row r="146" spans="6:16" ht="15" x14ac:dyDescent="0.25">
      <c r="F146" s="115"/>
      <c r="H146" s="24"/>
      <c r="I146" s="24"/>
      <c r="J146" s="24"/>
      <c r="K146" s="24"/>
      <c r="L146" s="24"/>
      <c r="M146" s="24"/>
      <c r="N146" s="24"/>
      <c r="O146" s="24"/>
      <c r="P146" s="24"/>
    </row>
    <row r="147" spans="6:16" ht="15" x14ac:dyDescent="0.25">
      <c r="F147" s="115"/>
      <c r="H147" s="24"/>
      <c r="I147" s="24"/>
      <c r="J147" s="24"/>
      <c r="K147" s="24"/>
      <c r="L147" s="24"/>
      <c r="M147" s="24"/>
      <c r="N147" s="24"/>
      <c r="O147" s="24"/>
      <c r="P147" s="24"/>
    </row>
    <row r="148" spans="6:16" ht="15" x14ac:dyDescent="0.25">
      <c r="F148" s="115"/>
      <c r="H148" s="24"/>
      <c r="I148" s="24"/>
      <c r="J148" s="24"/>
      <c r="K148" s="24"/>
      <c r="L148" s="24"/>
      <c r="M148" s="24"/>
      <c r="N148" s="24"/>
      <c r="O148" s="24"/>
      <c r="P148" s="24"/>
    </row>
    <row r="149" spans="6:16" ht="15" x14ac:dyDescent="0.25">
      <c r="F149" s="115"/>
      <c r="H149" s="24"/>
      <c r="I149" s="24"/>
      <c r="J149" s="24"/>
      <c r="K149" s="24"/>
      <c r="L149" s="24"/>
      <c r="M149" s="24"/>
      <c r="N149" s="24"/>
      <c r="O149" s="24"/>
      <c r="P149" s="24"/>
    </row>
    <row r="150" spans="6:16" ht="15" x14ac:dyDescent="0.25">
      <c r="F150" s="115"/>
      <c r="H150" s="24"/>
      <c r="I150" s="24"/>
      <c r="J150" s="24"/>
      <c r="K150" s="24"/>
      <c r="L150" s="24"/>
      <c r="M150" s="24"/>
      <c r="N150" s="24"/>
      <c r="O150" s="24"/>
      <c r="P150" s="24"/>
    </row>
    <row r="151" spans="6:16" ht="15" x14ac:dyDescent="0.25">
      <c r="F151" s="115"/>
      <c r="H151" s="24"/>
      <c r="I151" s="24"/>
      <c r="J151" s="24"/>
      <c r="K151" s="24"/>
      <c r="L151" s="24"/>
      <c r="M151" s="24"/>
      <c r="N151" s="24"/>
      <c r="O151" s="24"/>
      <c r="P151" s="24"/>
    </row>
    <row r="152" spans="6:16" ht="15" x14ac:dyDescent="0.25">
      <c r="F152" s="115"/>
      <c r="H152" s="24"/>
      <c r="I152" s="24"/>
      <c r="J152" s="24"/>
      <c r="K152" s="24"/>
      <c r="L152" s="24"/>
      <c r="M152" s="24"/>
      <c r="N152" s="24"/>
      <c r="O152" s="24"/>
      <c r="P152" s="24"/>
    </row>
    <row r="153" spans="6:16" ht="15" x14ac:dyDescent="0.25">
      <c r="F153" s="115"/>
      <c r="H153" s="24"/>
      <c r="I153" s="24"/>
      <c r="J153" s="24"/>
      <c r="K153" s="24"/>
      <c r="L153" s="24"/>
      <c r="M153" s="24"/>
      <c r="N153" s="24"/>
      <c r="O153" s="24"/>
      <c r="P153" s="24"/>
    </row>
    <row r="154" spans="6:16" ht="15" x14ac:dyDescent="0.25">
      <c r="F154" s="115"/>
      <c r="H154" s="24"/>
      <c r="I154" s="24"/>
      <c r="J154" s="24"/>
      <c r="K154" s="24"/>
      <c r="L154" s="24"/>
      <c r="M154" s="24"/>
      <c r="N154" s="24"/>
      <c r="O154" s="24"/>
      <c r="P154" s="24"/>
    </row>
    <row r="155" spans="6:16" ht="15" x14ac:dyDescent="0.25">
      <c r="F155" s="115"/>
      <c r="H155" s="24"/>
      <c r="I155" s="24"/>
      <c r="J155" s="24"/>
      <c r="K155" s="24"/>
      <c r="L155" s="24"/>
      <c r="M155" s="24"/>
      <c r="N155" s="24"/>
      <c r="O155" s="24"/>
      <c r="P155" s="24"/>
    </row>
    <row r="156" spans="6:16" ht="15" x14ac:dyDescent="0.25">
      <c r="F156" s="115"/>
      <c r="H156" s="24"/>
      <c r="I156" s="24"/>
      <c r="J156" s="24"/>
      <c r="K156" s="24"/>
      <c r="L156" s="24"/>
      <c r="M156" s="24"/>
      <c r="N156" s="24"/>
      <c r="O156" s="24"/>
      <c r="P156" s="24"/>
    </row>
    <row r="157" spans="6:16" ht="15" x14ac:dyDescent="0.25">
      <c r="F157" s="115"/>
      <c r="H157" s="24"/>
      <c r="I157" s="24"/>
      <c r="J157" s="24"/>
      <c r="K157" s="24"/>
      <c r="L157" s="24"/>
      <c r="M157" s="24"/>
      <c r="N157" s="24"/>
      <c r="O157" s="24"/>
      <c r="P157" s="24"/>
    </row>
    <row r="158" spans="6:16" ht="15" x14ac:dyDescent="0.25">
      <c r="F158" s="115"/>
      <c r="H158" s="24"/>
      <c r="I158" s="24"/>
      <c r="J158" s="24"/>
      <c r="K158" s="24"/>
      <c r="L158" s="24"/>
      <c r="M158" s="24"/>
      <c r="N158" s="24"/>
      <c r="O158" s="24"/>
      <c r="P158" s="24"/>
    </row>
    <row r="159" spans="6:16" ht="15" x14ac:dyDescent="0.25">
      <c r="F159" s="115"/>
      <c r="H159" s="24"/>
      <c r="I159" s="24"/>
      <c r="J159" s="24"/>
      <c r="K159" s="24"/>
      <c r="L159" s="24"/>
      <c r="M159" s="24"/>
      <c r="N159" s="24"/>
      <c r="O159" s="24"/>
      <c r="P159" s="24"/>
    </row>
    <row r="160" spans="6:16" ht="15" x14ac:dyDescent="0.25">
      <c r="F160" s="115"/>
      <c r="H160" s="24"/>
      <c r="I160" s="24"/>
      <c r="J160" s="24"/>
      <c r="K160" s="24"/>
      <c r="L160" s="24"/>
      <c r="M160" s="24"/>
      <c r="N160" s="24"/>
      <c r="O160" s="24"/>
      <c r="P160" s="24"/>
    </row>
    <row r="161" spans="6:16" ht="15" x14ac:dyDescent="0.25">
      <c r="F161" s="115"/>
      <c r="H161" s="24"/>
      <c r="I161" s="24"/>
      <c r="J161" s="24"/>
      <c r="K161" s="24"/>
      <c r="L161" s="24"/>
      <c r="M161" s="24"/>
      <c r="N161" s="24"/>
      <c r="O161" s="24"/>
      <c r="P161" s="24"/>
    </row>
    <row r="162" spans="6:16" ht="15" x14ac:dyDescent="0.25">
      <c r="F162" s="115"/>
      <c r="H162" s="24"/>
      <c r="I162" s="24"/>
      <c r="J162" s="24"/>
      <c r="K162" s="24"/>
      <c r="L162" s="24"/>
      <c r="M162" s="24"/>
      <c r="N162" s="24"/>
      <c r="O162" s="24"/>
      <c r="P162" s="24"/>
    </row>
    <row r="163" spans="6:16" ht="15" x14ac:dyDescent="0.25">
      <c r="F163" s="115"/>
      <c r="H163" s="24"/>
      <c r="I163" s="24"/>
      <c r="J163" s="24"/>
      <c r="K163" s="24"/>
      <c r="L163" s="24"/>
      <c r="M163" s="24"/>
      <c r="N163" s="24"/>
      <c r="O163" s="24"/>
      <c r="P163" s="24"/>
    </row>
    <row r="164" spans="6:16" ht="15" x14ac:dyDescent="0.25">
      <c r="F164" s="115"/>
      <c r="H164" s="24"/>
      <c r="I164" s="24"/>
      <c r="J164" s="24"/>
      <c r="K164" s="24"/>
      <c r="L164" s="24"/>
      <c r="M164" s="24"/>
      <c r="N164" s="24"/>
      <c r="O164" s="24"/>
      <c r="P164" s="24"/>
    </row>
    <row r="165" spans="6:16" ht="15" x14ac:dyDescent="0.25">
      <c r="F165" s="115"/>
      <c r="H165" s="24"/>
      <c r="I165" s="24"/>
      <c r="J165" s="24"/>
      <c r="K165" s="24"/>
      <c r="L165" s="24"/>
      <c r="M165" s="24"/>
      <c r="N165" s="24"/>
      <c r="O165" s="24"/>
      <c r="P165" s="24"/>
    </row>
    <row r="166" spans="6:16" ht="15" x14ac:dyDescent="0.25">
      <c r="F166" s="115"/>
      <c r="H166" s="24"/>
      <c r="I166" s="24"/>
      <c r="J166" s="24"/>
      <c r="K166" s="24"/>
      <c r="L166" s="24"/>
      <c r="M166" s="24"/>
      <c r="N166" s="24"/>
      <c r="O166" s="24"/>
      <c r="P166" s="24"/>
    </row>
    <row r="167" spans="6:16" ht="15" x14ac:dyDescent="0.25">
      <c r="F167" s="115"/>
      <c r="H167" s="24"/>
      <c r="I167" s="24"/>
      <c r="J167" s="24"/>
      <c r="K167" s="24"/>
      <c r="L167" s="24"/>
      <c r="M167" s="24"/>
      <c r="N167" s="24"/>
      <c r="O167" s="24"/>
      <c r="P167" s="24"/>
    </row>
    <row r="168" spans="6:16" ht="15" x14ac:dyDescent="0.25">
      <c r="F168" s="115"/>
      <c r="H168" s="24"/>
      <c r="I168" s="24"/>
      <c r="J168" s="24"/>
      <c r="K168" s="24"/>
      <c r="L168" s="24"/>
      <c r="M168" s="24"/>
      <c r="N168" s="24"/>
      <c r="O168" s="24"/>
      <c r="P168" s="24"/>
    </row>
    <row r="169" spans="6:16" ht="15" x14ac:dyDescent="0.25">
      <c r="F169" s="115"/>
      <c r="H169" s="24"/>
      <c r="I169" s="24"/>
      <c r="J169" s="24"/>
      <c r="K169" s="24"/>
      <c r="L169" s="24"/>
      <c r="M169" s="24"/>
      <c r="N169" s="24"/>
      <c r="O169" s="24"/>
      <c r="P169" s="24"/>
    </row>
    <row r="170" spans="6:16" ht="15" x14ac:dyDescent="0.25">
      <c r="F170" s="115"/>
      <c r="H170" s="24"/>
      <c r="I170" s="24"/>
      <c r="J170" s="24"/>
      <c r="K170" s="24"/>
      <c r="L170" s="24"/>
      <c r="M170" s="24"/>
      <c r="N170" s="24"/>
      <c r="O170" s="24"/>
      <c r="P170" s="24"/>
    </row>
    <row r="171" spans="6:16" ht="15" x14ac:dyDescent="0.25">
      <c r="F171" s="115"/>
      <c r="H171" s="24"/>
      <c r="I171" s="24"/>
      <c r="J171" s="24"/>
      <c r="K171" s="24"/>
      <c r="L171" s="24"/>
      <c r="M171" s="24"/>
      <c r="N171" s="24"/>
      <c r="O171" s="24"/>
      <c r="P171" s="24"/>
    </row>
    <row r="172" spans="6:16" ht="15" x14ac:dyDescent="0.25">
      <c r="F172" s="115"/>
      <c r="H172" s="24"/>
      <c r="I172" s="24"/>
      <c r="J172" s="24"/>
      <c r="K172" s="24"/>
      <c r="L172" s="24"/>
      <c r="M172" s="24"/>
      <c r="N172" s="24"/>
      <c r="O172" s="24"/>
      <c r="P172" s="24"/>
    </row>
    <row r="173" spans="6:16" ht="15" x14ac:dyDescent="0.25">
      <c r="F173" s="115"/>
      <c r="H173" s="24"/>
      <c r="I173" s="24"/>
      <c r="J173" s="24"/>
      <c r="K173" s="24"/>
      <c r="L173" s="24"/>
      <c r="M173" s="24"/>
      <c r="N173" s="24"/>
      <c r="O173" s="24"/>
      <c r="P173" s="24"/>
    </row>
    <row r="174" spans="6:16" ht="15" x14ac:dyDescent="0.25">
      <c r="F174" s="115"/>
      <c r="H174" s="24"/>
      <c r="I174" s="24"/>
      <c r="J174" s="24"/>
      <c r="K174" s="24"/>
      <c r="L174" s="24"/>
      <c r="M174" s="24"/>
      <c r="N174" s="24"/>
      <c r="O174" s="24"/>
      <c r="P174" s="24"/>
    </row>
    <row r="175" spans="6:16" ht="15" x14ac:dyDescent="0.25">
      <c r="F175" s="115"/>
      <c r="H175" s="24"/>
      <c r="I175" s="24"/>
      <c r="J175" s="24"/>
      <c r="K175" s="24"/>
      <c r="L175" s="24"/>
      <c r="M175" s="24"/>
      <c r="N175" s="24"/>
      <c r="O175" s="24"/>
      <c r="P175" s="24"/>
    </row>
    <row r="176" spans="6:16" ht="15" x14ac:dyDescent="0.25">
      <c r="F176" s="115"/>
      <c r="H176" s="24"/>
      <c r="I176" s="24"/>
      <c r="J176" s="24"/>
      <c r="K176" s="24"/>
      <c r="L176" s="24"/>
      <c r="M176" s="24"/>
      <c r="N176" s="24"/>
      <c r="O176" s="24"/>
      <c r="P176" s="24"/>
    </row>
    <row r="177" spans="6:16" ht="15" x14ac:dyDescent="0.25">
      <c r="F177" s="115"/>
      <c r="H177" s="24"/>
      <c r="I177" s="24"/>
      <c r="J177" s="24"/>
      <c r="K177" s="24"/>
      <c r="L177" s="24"/>
      <c r="M177" s="24"/>
      <c r="N177" s="24"/>
      <c r="O177" s="24"/>
      <c r="P177" s="24"/>
    </row>
    <row r="178" spans="6:16" ht="15" x14ac:dyDescent="0.25">
      <c r="F178" s="115"/>
      <c r="H178" s="24"/>
      <c r="I178" s="24"/>
      <c r="J178" s="24"/>
      <c r="K178" s="24"/>
      <c r="L178" s="24"/>
      <c r="M178" s="24"/>
      <c r="N178" s="24"/>
      <c r="O178" s="24"/>
      <c r="P178" s="24"/>
    </row>
    <row r="179" spans="6:16" ht="15" x14ac:dyDescent="0.25">
      <c r="F179" s="115"/>
      <c r="H179" s="24"/>
      <c r="I179" s="24"/>
      <c r="J179" s="24"/>
      <c r="K179" s="24"/>
      <c r="L179" s="24"/>
      <c r="M179" s="24"/>
      <c r="N179" s="24"/>
      <c r="O179" s="24"/>
      <c r="P179" s="24"/>
    </row>
    <row r="180" spans="6:16" ht="15" x14ac:dyDescent="0.25">
      <c r="F180" s="115"/>
      <c r="H180" s="24"/>
      <c r="I180" s="24"/>
      <c r="J180" s="24"/>
      <c r="K180" s="24"/>
      <c r="L180" s="24"/>
      <c r="M180" s="24"/>
      <c r="N180" s="24"/>
      <c r="O180" s="24"/>
      <c r="P180" s="24"/>
    </row>
    <row r="181" spans="6:16" ht="15" x14ac:dyDescent="0.25">
      <c r="F181" s="115"/>
      <c r="H181" s="24"/>
      <c r="I181" s="24"/>
      <c r="J181" s="24"/>
      <c r="K181" s="24"/>
      <c r="L181" s="24"/>
      <c r="M181" s="24"/>
      <c r="N181" s="24"/>
      <c r="O181" s="24"/>
      <c r="P181" s="24"/>
    </row>
    <row r="182" spans="6:16" ht="15" x14ac:dyDescent="0.25">
      <c r="F182" s="115"/>
      <c r="H182" s="24"/>
      <c r="I182" s="24"/>
      <c r="J182" s="24"/>
      <c r="K182" s="24"/>
      <c r="L182" s="24"/>
      <c r="M182" s="24"/>
      <c r="N182" s="24"/>
      <c r="O182" s="24"/>
      <c r="P182" s="24"/>
    </row>
    <row r="183" spans="6:16" ht="15" x14ac:dyDescent="0.25">
      <c r="F183" s="115"/>
      <c r="H183" s="24"/>
      <c r="I183" s="24"/>
      <c r="J183" s="24"/>
      <c r="K183" s="24"/>
      <c r="L183" s="24"/>
      <c r="M183" s="24"/>
      <c r="N183" s="24"/>
      <c r="O183" s="24"/>
      <c r="P183" s="24"/>
    </row>
    <row r="184" spans="6:16" ht="15" x14ac:dyDescent="0.25">
      <c r="F184" s="115"/>
      <c r="H184" s="24"/>
      <c r="I184" s="24"/>
      <c r="J184" s="24"/>
      <c r="K184" s="24"/>
      <c r="L184" s="24"/>
      <c r="M184" s="24"/>
      <c r="N184" s="24"/>
      <c r="O184" s="24"/>
      <c r="P184" s="24"/>
    </row>
    <row r="185" spans="6:16" ht="15" x14ac:dyDescent="0.25">
      <c r="F185" s="115"/>
      <c r="H185" s="24"/>
      <c r="I185" s="24"/>
      <c r="J185" s="24"/>
      <c r="K185" s="24"/>
      <c r="L185" s="24"/>
      <c r="M185" s="24"/>
      <c r="N185" s="24"/>
      <c r="O185" s="24"/>
      <c r="P185" s="24"/>
    </row>
    <row r="186" spans="6:16" ht="15" x14ac:dyDescent="0.25">
      <c r="F186" s="115"/>
      <c r="H186" s="24"/>
      <c r="I186" s="24"/>
      <c r="J186" s="24"/>
      <c r="K186" s="24"/>
      <c r="L186" s="24"/>
      <c r="M186" s="24"/>
      <c r="N186" s="24"/>
      <c r="O186" s="24"/>
      <c r="P186" s="24"/>
    </row>
    <row r="187" spans="6:16" ht="15" x14ac:dyDescent="0.25">
      <c r="F187" s="115"/>
      <c r="H187" s="24"/>
      <c r="I187" s="24"/>
      <c r="J187" s="24"/>
      <c r="K187" s="24"/>
      <c r="L187" s="24"/>
      <c r="M187" s="24"/>
      <c r="N187" s="24"/>
      <c r="O187" s="24"/>
      <c r="P187" s="24"/>
    </row>
    <row r="188" spans="6:16" ht="15" x14ac:dyDescent="0.25">
      <c r="F188" s="115"/>
      <c r="H188" s="24"/>
      <c r="I188" s="24"/>
      <c r="J188" s="24"/>
      <c r="K188" s="24"/>
      <c r="L188" s="24"/>
      <c r="M188" s="24"/>
      <c r="N188" s="24"/>
      <c r="O188" s="24"/>
      <c r="P188" s="24"/>
    </row>
    <row r="189" spans="6:16" ht="15" x14ac:dyDescent="0.25">
      <c r="F189" s="115"/>
      <c r="H189" s="24"/>
      <c r="I189" s="24"/>
      <c r="J189" s="24"/>
      <c r="K189" s="24"/>
      <c r="L189" s="24"/>
      <c r="M189" s="24"/>
      <c r="N189" s="24"/>
      <c r="O189" s="24"/>
      <c r="P189" s="24"/>
    </row>
    <row r="190" spans="6:16" ht="15" x14ac:dyDescent="0.25">
      <c r="F190" s="115"/>
      <c r="H190" s="24"/>
      <c r="I190" s="24"/>
      <c r="J190" s="24"/>
      <c r="K190" s="24"/>
      <c r="L190" s="24"/>
      <c r="M190" s="24"/>
      <c r="N190" s="24"/>
      <c r="O190" s="24"/>
      <c r="P190" s="24"/>
    </row>
    <row r="191" spans="6:16" ht="15" x14ac:dyDescent="0.25">
      <c r="F191" s="115"/>
      <c r="H191" s="24"/>
      <c r="I191" s="24"/>
      <c r="J191" s="24"/>
      <c r="K191" s="24"/>
      <c r="L191" s="24"/>
      <c r="M191" s="24"/>
      <c r="N191" s="24"/>
      <c r="O191" s="24"/>
      <c r="P191" s="24"/>
    </row>
    <row r="192" spans="6:16" ht="15" x14ac:dyDescent="0.25">
      <c r="F192" s="115"/>
      <c r="H192" s="24"/>
      <c r="I192" s="24"/>
      <c r="J192" s="24"/>
      <c r="K192" s="24"/>
      <c r="L192" s="24"/>
      <c r="M192" s="24"/>
      <c r="N192" s="24"/>
      <c r="O192" s="24"/>
      <c r="P192" s="24"/>
    </row>
    <row r="193" spans="6:16" ht="15" x14ac:dyDescent="0.25">
      <c r="F193" s="115"/>
      <c r="H193" s="24"/>
      <c r="I193" s="24"/>
      <c r="J193" s="24"/>
      <c r="K193" s="24"/>
      <c r="L193" s="24"/>
      <c r="M193" s="24"/>
      <c r="N193" s="24"/>
      <c r="O193" s="24"/>
      <c r="P193" s="24"/>
    </row>
    <row r="194" spans="6:16" ht="15" x14ac:dyDescent="0.25">
      <c r="F194" s="115"/>
      <c r="H194" s="24"/>
      <c r="I194" s="24"/>
      <c r="J194" s="24"/>
      <c r="K194" s="24"/>
      <c r="L194" s="24"/>
      <c r="M194" s="24"/>
      <c r="N194" s="24"/>
      <c r="O194" s="24"/>
      <c r="P194" s="24"/>
    </row>
    <row r="195" spans="6:16" ht="15" x14ac:dyDescent="0.25">
      <c r="F195" s="115"/>
      <c r="H195" s="24"/>
      <c r="I195" s="24"/>
      <c r="J195" s="24"/>
      <c r="K195" s="24"/>
      <c r="L195" s="24"/>
      <c r="M195" s="24"/>
      <c r="N195" s="24"/>
      <c r="O195" s="24"/>
      <c r="P195" s="24"/>
    </row>
    <row r="196" spans="6:16" ht="15" x14ac:dyDescent="0.25">
      <c r="F196" s="115"/>
      <c r="H196" s="24"/>
      <c r="I196" s="24"/>
      <c r="J196" s="24"/>
      <c r="K196" s="24"/>
      <c r="L196" s="24"/>
      <c r="M196" s="24"/>
      <c r="N196" s="24"/>
      <c r="O196" s="24"/>
      <c r="P196" s="24"/>
    </row>
    <row r="197" spans="6:16" ht="15" x14ac:dyDescent="0.25">
      <c r="F197" s="115"/>
      <c r="H197" s="24"/>
      <c r="I197" s="24"/>
      <c r="J197" s="24"/>
      <c r="K197" s="24"/>
      <c r="L197" s="24"/>
      <c r="M197" s="24"/>
      <c r="N197" s="24"/>
      <c r="O197" s="24"/>
      <c r="P197" s="24"/>
    </row>
    <row r="198" spans="6:16" ht="15" x14ac:dyDescent="0.25">
      <c r="F198" s="115"/>
      <c r="H198" s="24"/>
      <c r="I198" s="24"/>
      <c r="J198" s="24"/>
      <c r="K198" s="24"/>
      <c r="L198" s="24"/>
      <c r="M198" s="24"/>
      <c r="N198" s="24"/>
      <c r="O198" s="24"/>
      <c r="P198" s="24"/>
    </row>
    <row r="199" spans="6:16" ht="15" x14ac:dyDescent="0.25">
      <c r="F199" s="115"/>
      <c r="H199" s="24"/>
      <c r="I199" s="24"/>
      <c r="J199" s="24"/>
      <c r="K199" s="24"/>
      <c r="L199" s="24"/>
      <c r="M199" s="24"/>
      <c r="N199" s="24"/>
      <c r="O199" s="24"/>
      <c r="P199" s="24"/>
    </row>
    <row r="200" spans="6:16" ht="15" x14ac:dyDescent="0.25">
      <c r="F200" s="115"/>
      <c r="H200" s="24"/>
      <c r="I200" s="24"/>
      <c r="J200" s="24"/>
      <c r="K200" s="24"/>
      <c r="L200" s="24"/>
      <c r="M200" s="24"/>
      <c r="N200" s="24"/>
      <c r="O200" s="24"/>
      <c r="P200" s="24"/>
    </row>
    <row r="201" spans="6:16" ht="15" x14ac:dyDescent="0.25">
      <c r="F201" s="115"/>
      <c r="H201" s="24"/>
      <c r="I201" s="24"/>
      <c r="J201" s="24"/>
      <c r="K201" s="24"/>
      <c r="L201" s="24"/>
      <c r="M201" s="24"/>
      <c r="N201" s="24"/>
      <c r="O201" s="24"/>
      <c r="P201" s="24"/>
    </row>
    <row r="202" spans="6:16" ht="15" x14ac:dyDescent="0.25">
      <c r="F202" s="115"/>
      <c r="H202" s="24"/>
      <c r="I202" s="24"/>
      <c r="J202" s="24"/>
      <c r="K202" s="24"/>
      <c r="L202" s="24"/>
      <c r="M202" s="24"/>
      <c r="N202" s="24"/>
      <c r="O202" s="24"/>
      <c r="P202" s="24"/>
    </row>
    <row r="203" spans="6:16" ht="15" x14ac:dyDescent="0.25">
      <c r="F203" s="115"/>
      <c r="H203" s="24"/>
      <c r="I203" s="24"/>
      <c r="J203" s="24"/>
      <c r="K203" s="24"/>
      <c r="L203" s="24"/>
      <c r="M203" s="24"/>
      <c r="N203" s="24"/>
      <c r="O203" s="24"/>
      <c r="P203" s="24"/>
    </row>
    <row r="204" spans="6:16" ht="15" x14ac:dyDescent="0.25">
      <c r="F204" s="115"/>
      <c r="H204" s="24"/>
      <c r="I204" s="24"/>
      <c r="J204" s="24"/>
      <c r="K204" s="24"/>
      <c r="L204" s="24"/>
      <c r="M204" s="24"/>
      <c r="N204" s="24"/>
      <c r="O204" s="24"/>
      <c r="P204" s="24"/>
    </row>
    <row r="205" spans="6:16" ht="15" x14ac:dyDescent="0.25">
      <c r="F205" s="115"/>
      <c r="H205" s="24"/>
      <c r="I205" s="24"/>
      <c r="J205" s="24"/>
      <c r="K205" s="24"/>
      <c r="L205" s="24"/>
      <c r="M205" s="24"/>
      <c r="N205" s="24"/>
      <c r="O205" s="24"/>
      <c r="P205" s="24"/>
    </row>
    <row r="206" spans="6:16" ht="15" x14ac:dyDescent="0.25">
      <c r="F206" s="115"/>
      <c r="H206" s="24"/>
      <c r="I206" s="24"/>
      <c r="J206" s="24"/>
      <c r="K206" s="24"/>
      <c r="L206" s="24"/>
      <c r="M206" s="24"/>
      <c r="N206" s="24"/>
      <c r="O206" s="24"/>
      <c r="P206" s="24"/>
    </row>
    <row r="207" spans="6:16" ht="15" x14ac:dyDescent="0.25">
      <c r="F207" s="115"/>
      <c r="H207" s="24"/>
      <c r="I207" s="24"/>
      <c r="J207" s="24"/>
      <c r="K207" s="24"/>
      <c r="L207" s="24"/>
      <c r="M207" s="24"/>
      <c r="N207" s="24"/>
      <c r="O207" s="24"/>
      <c r="P207" s="24"/>
    </row>
    <row r="208" spans="6:16" ht="15" x14ac:dyDescent="0.25">
      <c r="F208" s="115"/>
      <c r="H208" s="24"/>
      <c r="I208" s="24"/>
      <c r="J208" s="24"/>
      <c r="K208" s="24"/>
      <c r="L208" s="24"/>
      <c r="M208" s="24"/>
      <c r="N208" s="24"/>
      <c r="O208" s="24"/>
      <c r="P208" s="24"/>
    </row>
    <row r="209" spans="6:16" ht="15" x14ac:dyDescent="0.25">
      <c r="F209" s="115"/>
      <c r="H209" s="24"/>
      <c r="I209" s="24"/>
      <c r="J209" s="24"/>
      <c r="K209" s="24"/>
      <c r="L209" s="24"/>
      <c r="M209" s="24"/>
      <c r="N209" s="24"/>
      <c r="O209" s="24"/>
      <c r="P209" s="24"/>
    </row>
    <row r="210" spans="6:16" ht="15" x14ac:dyDescent="0.25">
      <c r="F210" s="115"/>
      <c r="H210" s="24"/>
      <c r="I210" s="24"/>
      <c r="J210" s="24"/>
      <c r="K210" s="24"/>
      <c r="L210" s="24"/>
      <c r="M210" s="24"/>
      <c r="N210" s="24"/>
      <c r="O210" s="24"/>
      <c r="P210" s="24"/>
    </row>
    <row r="211" spans="6:16" ht="15" x14ac:dyDescent="0.25">
      <c r="F211" s="115"/>
      <c r="H211" s="24"/>
      <c r="I211" s="24"/>
      <c r="J211" s="24"/>
      <c r="K211" s="24"/>
      <c r="L211" s="24"/>
      <c r="M211" s="24"/>
      <c r="N211" s="24"/>
      <c r="O211" s="24"/>
      <c r="P211" s="24"/>
    </row>
    <row r="212" spans="6:16" ht="15" x14ac:dyDescent="0.25">
      <c r="F212" s="115"/>
      <c r="H212" s="24"/>
      <c r="I212" s="24"/>
      <c r="J212" s="24"/>
      <c r="K212" s="24"/>
      <c r="L212" s="24"/>
      <c r="M212" s="24"/>
      <c r="N212" s="24"/>
      <c r="O212" s="24"/>
      <c r="P212" s="24"/>
    </row>
    <row r="213" spans="6:16" ht="15" x14ac:dyDescent="0.25">
      <c r="F213" s="115"/>
      <c r="H213" s="24"/>
      <c r="I213" s="24"/>
      <c r="J213" s="24"/>
      <c r="K213" s="24"/>
      <c r="L213" s="24"/>
      <c r="M213" s="24"/>
      <c r="N213" s="24"/>
      <c r="O213" s="24"/>
      <c r="P213" s="24"/>
    </row>
    <row r="214" spans="6:16" ht="15" x14ac:dyDescent="0.25">
      <c r="F214" s="115"/>
      <c r="H214" s="24"/>
      <c r="I214" s="24"/>
      <c r="J214" s="24"/>
      <c r="K214" s="24"/>
      <c r="L214" s="24"/>
      <c r="M214" s="24"/>
      <c r="N214" s="24"/>
      <c r="O214" s="24"/>
      <c r="P214" s="24"/>
    </row>
    <row r="215" spans="6:16" ht="15" x14ac:dyDescent="0.25">
      <c r="F215" s="115"/>
      <c r="H215" s="24"/>
      <c r="I215" s="24"/>
      <c r="J215" s="24"/>
      <c r="K215" s="24"/>
      <c r="L215" s="24"/>
      <c r="M215" s="24"/>
      <c r="N215" s="24"/>
      <c r="O215" s="24"/>
      <c r="P215" s="24"/>
    </row>
    <row r="216" spans="6:16" ht="15" x14ac:dyDescent="0.25">
      <c r="F216" s="115"/>
      <c r="H216" s="24"/>
      <c r="I216" s="24"/>
      <c r="J216" s="24"/>
      <c r="K216" s="24"/>
      <c r="L216" s="24"/>
      <c r="M216" s="24"/>
      <c r="N216" s="24"/>
      <c r="O216" s="24"/>
      <c r="P216" s="24"/>
    </row>
    <row r="217" spans="6:16" ht="15" x14ac:dyDescent="0.25">
      <c r="F217" s="115"/>
      <c r="H217" s="24"/>
      <c r="I217" s="24"/>
      <c r="J217" s="24"/>
      <c r="K217" s="24"/>
      <c r="L217" s="24"/>
      <c r="M217" s="24"/>
      <c r="N217" s="24"/>
      <c r="O217" s="24"/>
      <c r="P217" s="24"/>
    </row>
    <row r="218" spans="6:16" ht="15" x14ac:dyDescent="0.25">
      <c r="F218" s="115"/>
      <c r="H218" s="24"/>
      <c r="I218" s="24"/>
      <c r="J218" s="24"/>
      <c r="K218" s="24"/>
      <c r="L218" s="24"/>
      <c r="M218" s="24"/>
      <c r="N218" s="24"/>
      <c r="O218" s="24"/>
      <c r="P218" s="24"/>
    </row>
    <row r="219" spans="6:16" ht="15" x14ac:dyDescent="0.25">
      <c r="F219" s="115"/>
      <c r="H219" s="24"/>
      <c r="I219" s="24"/>
      <c r="J219" s="24"/>
      <c r="K219" s="24"/>
      <c r="L219" s="24"/>
      <c r="M219" s="24"/>
      <c r="N219" s="24"/>
      <c r="O219" s="24"/>
      <c r="P219" s="24"/>
    </row>
    <row r="220" spans="6:16" ht="15" x14ac:dyDescent="0.25">
      <c r="F220" s="115"/>
      <c r="H220" s="24"/>
      <c r="I220" s="24"/>
      <c r="J220" s="24"/>
      <c r="K220" s="24"/>
      <c r="L220" s="24"/>
      <c r="M220" s="24"/>
      <c r="N220" s="24"/>
      <c r="O220" s="24"/>
      <c r="P220" s="24"/>
    </row>
    <row r="221" spans="6:16" ht="15" x14ac:dyDescent="0.25">
      <c r="F221" s="115"/>
      <c r="H221" s="24"/>
      <c r="I221" s="24"/>
      <c r="J221" s="24"/>
      <c r="K221" s="24"/>
      <c r="L221" s="24"/>
      <c r="M221" s="24"/>
      <c r="N221" s="24"/>
      <c r="O221" s="24"/>
      <c r="P221" s="24"/>
    </row>
    <row r="222" spans="6:16" ht="15" x14ac:dyDescent="0.25">
      <c r="F222" s="115"/>
      <c r="H222" s="24"/>
      <c r="I222" s="24"/>
      <c r="J222" s="24"/>
      <c r="K222" s="24"/>
      <c r="L222" s="24"/>
      <c r="M222" s="24"/>
      <c r="N222" s="24"/>
      <c r="O222" s="24"/>
      <c r="P222" s="24"/>
    </row>
    <row r="223" spans="6:16" ht="15" x14ac:dyDescent="0.25">
      <c r="F223" s="115"/>
      <c r="H223" s="24"/>
      <c r="I223" s="24"/>
      <c r="J223" s="24"/>
      <c r="K223" s="24"/>
      <c r="L223" s="24"/>
      <c r="M223" s="24"/>
      <c r="N223" s="24"/>
      <c r="O223" s="24"/>
      <c r="P223" s="24"/>
    </row>
    <row r="224" spans="6:16" ht="15" x14ac:dyDescent="0.25">
      <c r="F224" s="115"/>
      <c r="H224" s="24"/>
      <c r="I224" s="24"/>
      <c r="J224" s="24"/>
      <c r="K224" s="24"/>
      <c r="L224" s="24"/>
      <c r="M224" s="24"/>
      <c r="N224" s="24"/>
      <c r="O224" s="24"/>
      <c r="P224" s="24"/>
    </row>
    <row r="225" spans="6:16" ht="15" x14ac:dyDescent="0.25">
      <c r="F225" s="115"/>
      <c r="H225" s="24"/>
      <c r="I225" s="24"/>
      <c r="J225" s="24"/>
      <c r="K225" s="24"/>
      <c r="L225" s="24"/>
      <c r="M225" s="24"/>
      <c r="N225" s="24"/>
      <c r="O225" s="24"/>
      <c r="P225" s="24"/>
    </row>
    <row r="226" spans="6:16" ht="15" x14ac:dyDescent="0.25">
      <c r="F226" s="115"/>
      <c r="H226" s="24"/>
      <c r="I226" s="24"/>
      <c r="J226" s="24"/>
      <c r="K226" s="24"/>
      <c r="L226" s="24"/>
      <c r="M226" s="24"/>
      <c r="N226" s="24"/>
      <c r="O226" s="24"/>
      <c r="P226" s="24"/>
    </row>
    <row r="227" spans="6:16" ht="15" x14ac:dyDescent="0.25">
      <c r="F227" s="115"/>
      <c r="H227" s="24"/>
      <c r="I227" s="24"/>
      <c r="J227" s="24"/>
      <c r="K227" s="24"/>
      <c r="L227" s="24"/>
      <c r="M227" s="24"/>
      <c r="N227" s="24"/>
      <c r="O227" s="24"/>
      <c r="P227" s="24"/>
    </row>
    <row r="228" spans="6:16" ht="15" x14ac:dyDescent="0.25">
      <c r="F228" s="115"/>
      <c r="H228" s="24"/>
      <c r="I228" s="24"/>
      <c r="J228" s="24"/>
      <c r="K228" s="24"/>
      <c r="L228" s="24"/>
      <c r="M228" s="24"/>
      <c r="N228" s="24"/>
      <c r="O228" s="24"/>
      <c r="P228" s="24"/>
    </row>
    <row r="229" spans="6:16" ht="15" x14ac:dyDescent="0.25">
      <c r="F229" s="115"/>
      <c r="H229" s="24"/>
      <c r="I229" s="24"/>
      <c r="J229" s="24"/>
      <c r="K229" s="24"/>
      <c r="L229" s="24"/>
      <c r="M229" s="24"/>
      <c r="N229" s="24"/>
      <c r="O229" s="24"/>
      <c r="P229" s="24"/>
    </row>
    <row r="230" spans="6:16" ht="15" x14ac:dyDescent="0.25">
      <c r="F230" s="115"/>
      <c r="H230" s="24"/>
      <c r="I230" s="24"/>
      <c r="J230" s="24"/>
      <c r="K230" s="24"/>
      <c r="L230" s="24"/>
      <c r="M230" s="24"/>
      <c r="N230" s="24"/>
      <c r="O230" s="24"/>
      <c r="P230" s="24"/>
    </row>
    <row r="231" spans="6:16" ht="15" x14ac:dyDescent="0.25">
      <c r="F231" s="115"/>
      <c r="H231" s="24"/>
      <c r="I231" s="24"/>
      <c r="J231" s="24"/>
      <c r="K231" s="24"/>
      <c r="L231" s="24"/>
      <c r="M231" s="24"/>
      <c r="N231" s="24"/>
      <c r="O231" s="24"/>
      <c r="P231" s="24"/>
    </row>
    <row r="232" spans="6:16" ht="15" x14ac:dyDescent="0.25">
      <c r="F232" s="115"/>
      <c r="H232" s="24"/>
      <c r="I232" s="24"/>
      <c r="J232" s="24"/>
      <c r="K232" s="24"/>
      <c r="L232" s="24"/>
      <c r="M232" s="24"/>
      <c r="N232" s="24"/>
      <c r="O232" s="24"/>
      <c r="P232" s="24"/>
    </row>
    <row r="233" spans="6:16" ht="15" x14ac:dyDescent="0.25">
      <c r="F233" s="115"/>
      <c r="H233" s="24"/>
      <c r="I233" s="24"/>
      <c r="J233" s="24"/>
      <c r="K233" s="24"/>
      <c r="L233" s="24"/>
      <c r="M233" s="24"/>
      <c r="N233" s="24"/>
      <c r="O233" s="24"/>
      <c r="P233" s="24"/>
    </row>
    <row r="234" spans="6:16" ht="15" x14ac:dyDescent="0.25">
      <c r="F234" s="115"/>
      <c r="H234" s="24"/>
      <c r="I234" s="24"/>
      <c r="J234" s="24"/>
      <c r="K234" s="24"/>
      <c r="L234" s="24"/>
      <c r="M234" s="24"/>
      <c r="N234" s="24"/>
      <c r="O234" s="24"/>
      <c r="P234" s="24"/>
    </row>
    <row r="235" spans="6:16" ht="15" x14ac:dyDescent="0.25">
      <c r="F235" s="115"/>
      <c r="H235" s="24"/>
      <c r="I235" s="24"/>
      <c r="J235" s="24"/>
      <c r="K235" s="24"/>
      <c r="L235" s="24"/>
      <c r="M235" s="24"/>
      <c r="N235" s="24"/>
      <c r="O235" s="24"/>
      <c r="P235" s="24"/>
    </row>
    <row r="236" spans="6:16" ht="15" x14ac:dyDescent="0.25">
      <c r="F236" s="115"/>
      <c r="H236" s="24"/>
      <c r="I236" s="24"/>
      <c r="J236" s="24"/>
      <c r="K236" s="24"/>
      <c r="L236" s="24"/>
      <c r="M236" s="24"/>
      <c r="N236" s="24"/>
      <c r="O236" s="24"/>
      <c r="P236" s="24"/>
    </row>
    <row r="237" spans="6:16" ht="15" x14ac:dyDescent="0.25">
      <c r="F237" s="115"/>
      <c r="H237" s="24"/>
      <c r="I237" s="24"/>
      <c r="J237" s="24"/>
      <c r="K237" s="24"/>
      <c r="L237" s="24"/>
      <c r="M237" s="24"/>
      <c r="N237" s="24"/>
      <c r="O237" s="24"/>
      <c r="P237" s="24"/>
    </row>
    <row r="238" spans="6:16" ht="15" x14ac:dyDescent="0.25">
      <c r="F238" s="115"/>
      <c r="H238" s="24"/>
      <c r="I238" s="24"/>
      <c r="J238" s="24"/>
      <c r="K238" s="24"/>
      <c r="L238" s="24"/>
      <c r="M238" s="24"/>
      <c r="N238" s="24"/>
      <c r="O238" s="24"/>
      <c r="P238" s="24"/>
    </row>
    <row r="239" spans="6:16" ht="15" x14ac:dyDescent="0.25">
      <c r="F239" s="115"/>
      <c r="H239" s="24"/>
      <c r="I239" s="24"/>
      <c r="J239" s="24"/>
      <c r="K239" s="24"/>
      <c r="L239" s="24"/>
      <c r="M239" s="24"/>
      <c r="N239" s="24"/>
      <c r="O239" s="24"/>
      <c r="P239" s="24"/>
    </row>
    <row r="240" spans="6:16" ht="15" x14ac:dyDescent="0.25">
      <c r="F240" s="115"/>
      <c r="H240" s="24"/>
      <c r="I240" s="24"/>
      <c r="J240" s="24"/>
      <c r="K240" s="24"/>
      <c r="L240" s="24"/>
      <c r="M240" s="24"/>
      <c r="N240" s="24"/>
      <c r="O240" s="24"/>
      <c r="P240" s="24"/>
    </row>
    <row r="241" spans="6:16" ht="15" x14ac:dyDescent="0.25">
      <c r="F241" s="115"/>
      <c r="H241" s="24"/>
      <c r="I241" s="24"/>
      <c r="J241" s="24"/>
      <c r="K241" s="24"/>
      <c r="L241" s="24"/>
      <c r="M241" s="24"/>
      <c r="N241" s="24"/>
      <c r="O241" s="24"/>
      <c r="P241" s="24"/>
    </row>
    <row r="242" spans="6:16" ht="15" x14ac:dyDescent="0.25">
      <c r="F242" s="115"/>
      <c r="H242" s="24"/>
      <c r="I242" s="24"/>
      <c r="J242" s="24"/>
      <c r="K242" s="24"/>
      <c r="L242" s="24"/>
      <c r="M242" s="24"/>
      <c r="N242" s="24"/>
      <c r="O242" s="24"/>
      <c r="P242" s="24"/>
    </row>
    <row r="243" spans="6:16" ht="15" x14ac:dyDescent="0.25">
      <c r="F243" s="115"/>
      <c r="H243" s="24"/>
      <c r="I243" s="24"/>
      <c r="J243" s="24"/>
      <c r="K243" s="24"/>
      <c r="L243" s="24"/>
      <c r="M243" s="24"/>
      <c r="N243" s="24"/>
      <c r="O243" s="24"/>
      <c r="P243" s="24"/>
    </row>
    <row r="244" spans="6:16" ht="15" x14ac:dyDescent="0.25">
      <c r="F244" s="115"/>
      <c r="H244" s="24"/>
      <c r="I244" s="24"/>
      <c r="J244" s="24"/>
      <c r="K244" s="24"/>
      <c r="L244" s="24"/>
      <c r="M244" s="24"/>
      <c r="N244" s="24"/>
      <c r="O244" s="24"/>
      <c r="P244" s="24"/>
    </row>
    <row r="245" spans="6:16" ht="15" x14ac:dyDescent="0.25">
      <c r="F245" s="115"/>
      <c r="H245" s="24"/>
      <c r="I245" s="24"/>
      <c r="J245" s="24"/>
      <c r="K245" s="24"/>
      <c r="L245" s="24"/>
      <c r="M245" s="24"/>
      <c r="N245" s="24"/>
      <c r="O245" s="24"/>
      <c r="P245" s="24"/>
    </row>
    <row r="246" spans="6:16" ht="15" x14ac:dyDescent="0.25">
      <c r="F246" s="115"/>
      <c r="H246" s="24"/>
      <c r="I246" s="24"/>
      <c r="J246" s="24"/>
      <c r="K246" s="24"/>
      <c r="L246" s="24"/>
      <c r="M246" s="24"/>
      <c r="N246" s="24"/>
      <c r="O246" s="24"/>
      <c r="P246" s="24"/>
    </row>
    <row r="247" spans="6:16" ht="15" x14ac:dyDescent="0.25">
      <c r="F247" s="115"/>
      <c r="H247" s="24"/>
      <c r="I247" s="24"/>
      <c r="J247" s="24"/>
      <c r="K247" s="24"/>
      <c r="L247" s="24"/>
      <c r="M247" s="24"/>
      <c r="N247" s="24"/>
      <c r="O247" s="24"/>
      <c r="P247" s="24"/>
    </row>
    <row r="248" spans="6:16" ht="15" x14ac:dyDescent="0.25">
      <c r="F248" s="115"/>
      <c r="H248" s="24"/>
      <c r="I248" s="24"/>
      <c r="J248" s="24"/>
      <c r="K248" s="24"/>
      <c r="L248" s="24"/>
      <c r="M248" s="24"/>
      <c r="N248" s="24"/>
      <c r="O248" s="24"/>
      <c r="P248" s="24"/>
    </row>
    <row r="249" spans="6:16" ht="15" x14ac:dyDescent="0.25">
      <c r="F249" s="115"/>
      <c r="H249" s="24"/>
      <c r="I249" s="24"/>
      <c r="J249" s="24"/>
      <c r="K249" s="24"/>
      <c r="L249" s="24"/>
      <c r="M249" s="24"/>
      <c r="N249" s="24"/>
      <c r="O249" s="24"/>
      <c r="P249" s="24"/>
    </row>
    <row r="250" spans="6:16" ht="15" x14ac:dyDescent="0.25">
      <c r="F250" s="115"/>
      <c r="H250" s="24"/>
      <c r="I250" s="24"/>
      <c r="J250" s="24"/>
      <c r="K250" s="24"/>
      <c r="L250" s="24"/>
      <c r="M250" s="24"/>
      <c r="N250" s="24"/>
      <c r="O250" s="24"/>
      <c r="P250" s="24"/>
    </row>
    <row r="251" spans="6:16" ht="15" x14ac:dyDescent="0.25">
      <c r="F251" s="115"/>
      <c r="H251" s="24"/>
      <c r="I251" s="24"/>
      <c r="J251" s="24"/>
      <c r="K251" s="24"/>
      <c r="L251" s="24"/>
      <c r="M251" s="24"/>
      <c r="N251" s="24"/>
      <c r="O251" s="24"/>
      <c r="P251" s="24"/>
    </row>
    <row r="252" spans="6:16" ht="15" x14ac:dyDescent="0.25">
      <c r="F252" s="115"/>
      <c r="H252" s="24"/>
      <c r="I252" s="24"/>
      <c r="J252" s="24"/>
      <c r="K252" s="24"/>
      <c r="L252" s="24"/>
      <c r="M252" s="24"/>
      <c r="N252" s="24"/>
      <c r="O252" s="24"/>
      <c r="P252" s="24"/>
    </row>
    <row r="253" spans="6:16" ht="15" x14ac:dyDescent="0.25">
      <c r="F253" s="115"/>
      <c r="H253" s="24"/>
      <c r="I253" s="24"/>
      <c r="J253" s="24"/>
      <c r="K253" s="24"/>
      <c r="L253" s="24"/>
      <c r="M253" s="24"/>
      <c r="N253" s="24"/>
      <c r="O253" s="24"/>
      <c r="P253" s="24"/>
    </row>
    <row r="254" spans="6:16" ht="15" x14ac:dyDescent="0.25">
      <c r="F254" s="115"/>
      <c r="H254" s="24"/>
      <c r="I254" s="24"/>
      <c r="J254" s="24"/>
      <c r="K254" s="24"/>
      <c r="L254" s="24"/>
      <c r="M254" s="24"/>
      <c r="N254" s="24"/>
      <c r="O254" s="24"/>
      <c r="P254" s="24"/>
    </row>
    <row r="255" spans="6:16" ht="15" x14ac:dyDescent="0.25">
      <c r="F255" s="115"/>
      <c r="H255" s="24"/>
      <c r="I255" s="24"/>
      <c r="J255" s="24"/>
      <c r="K255" s="24"/>
      <c r="L255" s="24"/>
      <c r="M255" s="24"/>
      <c r="N255" s="24"/>
      <c r="O255" s="24"/>
      <c r="P255" s="24"/>
    </row>
    <row r="256" spans="6:16" ht="15" x14ac:dyDescent="0.25">
      <c r="F256" s="115"/>
      <c r="H256" s="24"/>
      <c r="I256" s="24"/>
      <c r="J256" s="24"/>
      <c r="K256" s="24"/>
      <c r="L256" s="24"/>
      <c r="M256" s="24"/>
      <c r="N256" s="24"/>
      <c r="O256" s="24"/>
      <c r="P256" s="24"/>
    </row>
    <row r="257" spans="6:16" ht="15" x14ac:dyDescent="0.25">
      <c r="F257" s="115"/>
      <c r="H257" s="24"/>
      <c r="I257" s="24"/>
      <c r="J257" s="24"/>
      <c r="K257" s="24"/>
      <c r="L257" s="24"/>
      <c r="M257" s="24"/>
      <c r="N257" s="24"/>
      <c r="O257" s="24"/>
      <c r="P257" s="24"/>
    </row>
    <row r="258" spans="6:16" ht="15" x14ac:dyDescent="0.25">
      <c r="F258" s="115"/>
      <c r="H258" s="24"/>
      <c r="I258" s="24"/>
      <c r="J258" s="24"/>
      <c r="K258" s="24"/>
      <c r="L258" s="24"/>
      <c r="M258" s="24"/>
      <c r="N258" s="24"/>
      <c r="O258" s="24"/>
      <c r="P258" s="24"/>
    </row>
    <row r="259" spans="6:16" ht="15" x14ac:dyDescent="0.25">
      <c r="F259" s="115"/>
      <c r="H259" s="24"/>
      <c r="I259" s="24"/>
      <c r="J259" s="24"/>
      <c r="K259" s="24"/>
      <c r="L259" s="24"/>
      <c r="M259" s="24"/>
      <c r="N259" s="24"/>
      <c r="O259" s="24"/>
      <c r="P259" s="24"/>
    </row>
    <row r="260" spans="6:16" ht="15" x14ac:dyDescent="0.25">
      <c r="F260" s="115"/>
      <c r="H260" s="24"/>
      <c r="I260" s="24"/>
      <c r="J260" s="24"/>
      <c r="K260" s="24"/>
      <c r="L260" s="24"/>
      <c r="M260" s="24"/>
      <c r="N260" s="24"/>
      <c r="O260" s="24"/>
      <c r="P260" s="24"/>
    </row>
    <row r="261" spans="6:16" ht="15" x14ac:dyDescent="0.25">
      <c r="F261" s="115"/>
      <c r="H261" s="24"/>
      <c r="I261" s="24"/>
      <c r="J261" s="24"/>
      <c r="K261" s="24"/>
      <c r="L261" s="24"/>
      <c r="M261" s="24"/>
      <c r="N261" s="24"/>
      <c r="O261" s="24"/>
      <c r="P261" s="24"/>
    </row>
    <row r="262" spans="6:16" ht="15" x14ac:dyDescent="0.25">
      <c r="F262" s="115"/>
      <c r="H262" s="24"/>
      <c r="I262" s="24"/>
      <c r="J262" s="24"/>
      <c r="K262" s="24"/>
      <c r="L262" s="24"/>
      <c r="M262" s="24"/>
      <c r="N262" s="24"/>
      <c r="O262" s="24"/>
      <c r="P262" s="24"/>
    </row>
    <row r="263" spans="6:16" ht="15" x14ac:dyDescent="0.25">
      <c r="F263" s="115"/>
      <c r="H263" s="24"/>
      <c r="I263" s="24"/>
      <c r="J263" s="24"/>
      <c r="K263" s="24"/>
      <c r="L263" s="24"/>
      <c r="M263" s="24"/>
      <c r="N263" s="24"/>
      <c r="O263" s="24"/>
      <c r="P263" s="24"/>
    </row>
    <row r="264" spans="6:16" ht="15" x14ac:dyDescent="0.25">
      <c r="F264" s="115"/>
      <c r="H264" s="24"/>
      <c r="I264" s="24"/>
      <c r="J264" s="24"/>
      <c r="K264" s="24"/>
      <c r="L264" s="24"/>
      <c r="M264" s="24"/>
      <c r="N264" s="24"/>
      <c r="O264" s="24"/>
      <c r="P264" s="24"/>
    </row>
    <row r="265" spans="6:16" ht="15" x14ac:dyDescent="0.25">
      <c r="F265" s="115"/>
      <c r="H265" s="24"/>
      <c r="I265" s="24"/>
      <c r="J265" s="24"/>
      <c r="K265" s="24"/>
      <c r="L265" s="24"/>
      <c r="M265" s="24"/>
      <c r="N265" s="24"/>
      <c r="O265" s="24"/>
      <c r="P265" s="24"/>
    </row>
    <row r="266" spans="6:16" ht="15" x14ac:dyDescent="0.25">
      <c r="F266" s="115"/>
      <c r="H266" s="24"/>
      <c r="I266" s="24"/>
      <c r="J266" s="24"/>
      <c r="K266" s="24"/>
      <c r="L266" s="24"/>
      <c r="M266" s="24"/>
      <c r="N266" s="24"/>
      <c r="O266" s="24"/>
      <c r="P266" s="24"/>
    </row>
    <row r="267" spans="6:16" ht="15" x14ac:dyDescent="0.25">
      <c r="F267" s="115"/>
      <c r="H267" s="24"/>
      <c r="I267" s="24"/>
      <c r="J267" s="24"/>
      <c r="K267" s="24"/>
      <c r="L267" s="24"/>
      <c r="M267" s="24"/>
      <c r="N267" s="24"/>
      <c r="O267" s="24"/>
      <c r="P267" s="24"/>
    </row>
    <row r="268" spans="6:16" ht="15" x14ac:dyDescent="0.25">
      <c r="F268" s="115"/>
      <c r="H268" s="24"/>
      <c r="I268" s="24"/>
      <c r="J268" s="24"/>
      <c r="K268" s="24"/>
      <c r="L268" s="24"/>
      <c r="M268" s="24"/>
      <c r="N268" s="24"/>
      <c r="O268" s="24"/>
      <c r="P268" s="24"/>
    </row>
    <row r="269" spans="6:16" ht="15" x14ac:dyDescent="0.25">
      <c r="F269" s="115"/>
      <c r="H269" s="24"/>
      <c r="I269" s="24"/>
      <c r="J269" s="24"/>
      <c r="K269" s="24"/>
      <c r="L269" s="24"/>
      <c r="M269" s="24"/>
      <c r="N269" s="24"/>
      <c r="O269" s="24"/>
      <c r="P269" s="24"/>
    </row>
    <row r="270" spans="6:16" ht="15" x14ac:dyDescent="0.25">
      <c r="F270" s="115"/>
      <c r="H270" s="24"/>
      <c r="I270" s="24"/>
      <c r="J270" s="24"/>
      <c r="K270" s="24"/>
      <c r="L270" s="24"/>
      <c r="M270" s="24"/>
      <c r="N270" s="24"/>
      <c r="O270" s="24"/>
      <c r="P270" s="24"/>
    </row>
    <row r="271" spans="6:16" ht="15" x14ac:dyDescent="0.25">
      <c r="F271" s="115"/>
      <c r="H271" s="24"/>
      <c r="I271" s="24"/>
      <c r="J271" s="24"/>
      <c r="K271" s="24"/>
      <c r="L271" s="24"/>
      <c r="M271" s="24"/>
      <c r="N271" s="24"/>
      <c r="O271" s="24"/>
      <c r="P271" s="24"/>
    </row>
    <row r="272" spans="6:16" ht="15" x14ac:dyDescent="0.25">
      <c r="F272" s="115"/>
      <c r="H272" s="24"/>
      <c r="I272" s="24"/>
      <c r="J272" s="24"/>
      <c r="K272" s="24"/>
      <c r="L272" s="24"/>
      <c r="M272" s="24"/>
      <c r="N272" s="24"/>
      <c r="O272" s="24"/>
      <c r="P272" s="24"/>
    </row>
    <row r="273" spans="6:16" ht="15" x14ac:dyDescent="0.25">
      <c r="F273" s="115"/>
      <c r="H273" s="24"/>
      <c r="I273" s="24"/>
      <c r="J273" s="24"/>
      <c r="K273" s="24"/>
      <c r="L273" s="24"/>
      <c r="M273" s="24"/>
      <c r="N273" s="24"/>
      <c r="O273" s="24"/>
      <c r="P273" s="24"/>
    </row>
    <row r="274" spans="6:16" ht="15" x14ac:dyDescent="0.25">
      <c r="F274" s="115"/>
      <c r="H274" s="24"/>
      <c r="I274" s="24"/>
      <c r="J274" s="24"/>
      <c r="K274" s="24"/>
      <c r="L274" s="24"/>
      <c r="M274" s="24"/>
      <c r="N274" s="24"/>
      <c r="O274" s="24"/>
      <c r="P274" s="24"/>
    </row>
    <row r="275" spans="6:16" ht="15" x14ac:dyDescent="0.25">
      <c r="F275" s="115"/>
      <c r="H275" s="24"/>
      <c r="I275" s="24"/>
      <c r="J275" s="24"/>
      <c r="K275" s="24"/>
      <c r="L275" s="24"/>
      <c r="M275" s="24"/>
      <c r="N275" s="24"/>
      <c r="O275" s="24"/>
      <c r="P275" s="24"/>
    </row>
    <row r="276" spans="6:16" ht="15" x14ac:dyDescent="0.25">
      <c r="F276" s="115"/>
      <c r="H276" s="24"/>
      <c r="I276" s="24"/>
      <c r="J276" s="24"/>
      <c r="K276" s="24"/>
      <c r="L276" s="24"/>
      <c r="M276" s="24"/>
      <c r="N276" s="24"/>
      <c r="O276" s="24"/>
      <c r="P276" s="24"/>
    </row>
    <row r="277" spans="6:16" ht="15" x14ac:dyDescent="0.25">
      <c r="F277" s="115"/>
      <c r="H277" s="24"/>
      <c r="I277" s="24"/>
      <c r="J277" s="24"/>
      <c r="K277" s="24"/>
      <c r="L277" s="24"/>
      <c r="M277" s="24"/>
      <c r="N277" s="24"/>
      <c r="O277" s="24"/>
      <c r="P277" s="24"/>
    </row>
    <row r="278" spans="6:16" ht="15" x14ac:dyDescent="0.25">
      <c r="F278" s="115"/>
      <c r="H278" s="24"/>
      <c r="I278" s="24"/>
      <c r="J278" s="24"/>
      <c r="K278" s="24"/>
      <c r="L278" s="24"/>
      <c r="M278" s="24"/>
      <c r="N278" s="24"/>
      <c r="O278" s="24"/>
      <c r="P278" s="24"/>
    </row>
    <row r="279" spans="6:16" ht="15" x14ac:dyDescent="0.25">
      <c r="F279" s="115"/>
      <c r="H279" s="24"/>
      <c r="I279" s="24"/>
      <c r="J279" s="24"/>
      <c r="K279" s="24"/>
      <c r="L279" s="24"/>
      <c r="M279" s="24"/>
      <c r="N279" s="24"/>
      <c r="O279" s="24"/>
      <c r="P279" s="24"/>
    </row>
    <row r="280" spans="6:16" ht="15" x14ac:dyDescent="0.25">
      <c r="F280" s="115"/>
      <c r="H280" s="24"/>
      <c r="I280" s="24"/>
      <c r="J280" s="24"/>
      <c r="K280" s="24"/>
      <c r="L280" s="24"/>
      <c r="M280" s="24"/>
      <c r="N280" s="24"/>
      <c r="O280" s="24"/>
      <c r="P280" s="24"/>
    </row>
    <row r="281" spans="6:16" ht="15" x14ac:dyDescent="0.25">
      <c r="F281" s="115"/>
      <c r="H281" s="24"/>
      <c r="I281" s="24"/>
      <c r="J281" s="24"/>
      <c r="K281" s="24"/>
      <c r="L281" s="24"/>
      <c r="M281" s="24"/>
      <c r="N281" s="24"/>
      <c r="O281" s="24"/>
      <c r="P281" s="24"/>
    </row>
    <row r="282" spans="6:16" ht="15" x14ac:dyDescent="0.25">
      <c r="F282" s="115"/>
      <c r="H282" s="24"/>
      <c r="I282" s="24"/>
      <c r="J282" s="24"/>
      <c r="K282" s="24"/>
      <c r="L282" s="24"/>
      <c r="M282" s="24"/>
      <c r="N282" s="24"/>
      <c r="O282" s="24"/>
      <c r="P282" s="24"/>
    </row>
    <row r="283" spans="6:16" ht="15" x14ac:dyDescent="0.25">
      <c r="F283" s="115"/>
      <c r="H283" s="24"/>
      <c r="I283" s="24"/>
      <c r="J283" s="24"/>
      <c r="K283" s="24"/>
      <c r="L283" s="24"/>
      <c r="M283" s="24"/>
      <c r="N283" s="24"/>
      <c r="O283" s="24"/>
      <c r="P283" s="24"/>
    </row>
    <row r="284" spans="6:16" ht="15" x14ac:dyDescent="0.25">
      <c r="F284" s="115"/>
      <c r="H284" s="24"/>
      <c r="I284" s="24"/>
      <c r="J284" s="24"/>
      <c r="K284" s="24"/>
      <c r="L284" s="24"/>
      <c r="M284" s="24"/>
      <c r="N284" s="24"/>
      <c r="O284" s="24"/>
      <c r="P284" s="24"/>
    </row>
    <row r="285" spans="6:16" ht="15" x14ac:dyDescent="0.25">
      <c r="F285" s="115"/>
      <c r="H285" s="24"/>
      <c r="I285" s="24"/>
      <c r="J285" s="24"/>
      <c r="K285" s="24"/>
      <c r="L285" s="24"/>
      <c r="M285" s="24"/>
      <c r="N285" s="24"/>
      <c r="O285" s="24"/>
      <c r="P285" s="24"/>
    </row>
    <row r="286" spans="6:16" ht="15" x14ac:dyDescent="0.25">
      <c r="F286" s="115"/>
      <c r="H286" s="24"/>
      <c r="I286" s="24"/>
      <c r="J286" s="24"/>
      <c r="K286" s="24"/>
      <c r="L286" s="24"/>
      <c r="M286" s="24"/>
      <c r="N286" s="24"/>
      <c r="O286" s="24"/>
      <c r="P286" s="24"/>
    </row>
    <row r="287" spans="6:16" ht="15" x14ac:dyDescent="0.25">
      <c r="F287" s="115"/>
      <c r="H287" s="24"/>
      <c r="I287" s="24"/>
      <c r="J287" s="24"/>
      <c r="K287" s="24"/>
      <c r="L287" s="24"/>
      <c r="M287" s="24"/>
      <c r="N287" s="24"/>
      <c r="O287" s="24"/>
      <c r="P287" s="24"/>
    </row>
    <row r="288" spans="6:16" ht="15" x14ac:dyDescent="0.25">
      <c r="F288" s="115"/>
      <c r="H288" s="24"/>
      <c r="I288" s="24"/>
      <c r="J288" s="24"/>
      <c r="K288" s="24"/>
      <c r="L288" s="24"/>
      <c r="M288" s="24"/>
      <c r="N288" s="24"/>
      <c r="O288" s="24"/>
      <c r="P288" s="24"/>
    </row>
    <row r="289" spans="6:16" ht="15" x14ac:dyDescent="0.25">
      <c r="F289" s="115"/>
      <c r="H289" s="24"/>
      <c r="I289" s="24"/>
      <c r="J289" s="24"/>
      <c r="K289" s="24"/>
      <c r="L289" s="24"/>
      <c r="M289" s="24"/>
      <c r="N289" s="24"/>
      <c r="O289" s="24"/>
      <c r="P289" s="24"/>
    </row>
    <row r="290" spans="6:16" ht="15" x14ac:dyDescent="0.25">
      <c r="F290" s="115"/>
      <c r="H290" s="24"/>
      <c r="I290" s="24"/>
      <c r="J290" s="24"/>
      <c r="K290" s="24"/>
      <c r="L290" s="24"/>
      <c r="M290" s="24"/>
      <c r="N290" s="24"/>
      <c r="O290" s="24"/>
      <c r="P290" s="24"/>
    </row>
    <row r="291" spans="6:16" ht="15" x14ac:dyDescent="0.25">
      <c r="F291" s="115"/>
      <c r="H291" s="24"/>
      <c r="I291" s="24"/>
      <c r="J291" s="24"/>
      <c r="K291" s="24"/>
      <c r="L291" s="24"/>
      <c r="M291" s="24"/>
      <c r="N291" s="24"/>
      <c r="O291" s="24"/>
      <c r="P291" s="24"/>
    </row>
    <row r="292" spans="6:16" ht="15" x14ac:dyDescent="0.25">
      <c r="F292" s="115"/>
      <c r="H292" s="24"/>
      <c r="I292" s="24"/>
      <c r="J292" s="24"/>
      <c r="K292" s="24"/>
      <c r="L292" s="24"/>
      <c r="M292" s="24"/>
      <c r="N292" s="24"/>
      <c r="O292" s="24"/>
      <c r="P292" s="24"/>
    </row>
    <row r="293" spans="6:16" ht="15" x14ac:dyDescent="0.25">
      <c r="F293" s="115"/>
      <c r="H293" s="24"/>
      <c r="I293" s="24"/>
      <c r="J293" s="24"/>
      <c r="K293" s="24"/>
      <c r="L293" s="24"/>
      <c r="M293" s="24"/>
      <c r="N293" s="24"/>
      <c r="O293" s="24"/>
      <c r="P293" s="24"/>
    </row>
    <row r="294" spans="6:16" ht="15" x14ac:dyDescent="0.25">
      <c r="F294" s="115"/>
      <c r="H294" s="24"/>
      <c r="I294" s="24"/>
      <c r="J294" s="24"/>
      <c r="K294" s="24"/>
      <c r="L294" s="24"/>
      <c r="M294" s="24"/>
      <c r="N294" s="24"/>
      <c r="O294" s="24"/>
      <c r="P294" s="24"/>
    </row>
    <row r="295" spans="6:16" ht="15" x14ac:dyDescent="0.25">
      <c r="F295" s="115"/>
      <c r="H295" s="24"/>
      <c r="I295" s="24"/>
      <c r="J295" s="24"/>
      <c r="K295" s="24"/>
      <c r="L295" s="24"/>
      <c r="M295" s="24"/>
      <c r="N295" s="24"/>
      <c r="O295" s="24"/>
      <c r="P295" s="24"/>
    </row>
    <row r="296" spans="6:16" ht="15" x14ac:dyDescent="0.25">
      <c r="F296" s="115"/>
      <c r="H296" s="24"/>
      <c r="I296" s="24"/>
      <c r="J296" s="24"/>
      <c r="K296" s="24"/>
      <c r="L296" s="24"/>
      <c r="M296" s="24"/>
      <c r="N296" s="24"/>
      <c r="O296" s="24"/>
      <c r="P296" s="24"/>
    </row>
    <row r="297" spans="6:16" ht="15" x14ac:dyDescent="0.25">
      <c r="F297" s="115"/>
      <c r="H297" s="24"/>
      <c r="I297" s="24"/>
      <c r="J297" s="24"/>
      <c r="K297" s="24"/>
      <c r="L297" s="24"/>
      <c r="M297" s="24"/>
      <c r="N297" s="24"/>
      <c r="O297" s="24"/>
      <c r="P297" s="24"/>
    </row>
    <row r="298" spans="6:16" ht="15" x14ac:dyDescent="0.25">
      <c r="F298" s="115"/>
      <c r="H298" s="24"/>
      <c r="I298" s="24"/>
      <c r="J298" s="24"/>
      <c r="K298" s="24"/>
      <c r="L298" s="24"/>
      <c r="M298" s="24"/>
      <c r="N298" s="24"/>
      <c r="O298" s="24"/>
      <c r="P298" s="24"/>
    </row>
    <row r="299" spans="6:16" ht="15" x14ac:dyDescent="0.25">
      <c r="F299" s="115"/>
      <c r="H299" s="24"/>
      <c r="I299" s="24"/>
      <c r="J299" s="24"/>
      <c r="K299" s="24"/>
      <c r="L299" s="24"/>
      <c r="M299" s="24"/>
      <c r="N299" s="24"/>
      <c r="O299" s="24"/>
      <c r="P299" s="24"/>
    </row>
    <row r="300" spans="6:16" ht="15" x14ac:dyDescent="0.25">
      <c r="F300" s="115"/>
      <c r="H300" s="24"/>
      <c r="I300" s="24"/>
      <c r="J300" s="24"/>
      <c r="K300" s="24"/>
      <c r="L300" s="24"/>
      <c r="M300" s="24"/>
      <c r="N300" s="24"/>
      <c r="O300" s="24"/>
      <c r="P300" s="24"/>
    </row>
    <row r="301" spans="6:16" ht="15" x14ac:dyDescent="0.25">
      <c r="F301" s="115"/>
      <c r="H301" s="24"/>
      <c r="I301" s="24"/>
      <c r="J301" s="24"/>
      <c r="K301" s="24"/>
      <c r="L301" s="24"/>
      <c r="M301" s="24"/>
      <c r="N301" s="24"/>
      <c r="O301" s="24"/>
      <c r="P301" s="24"/>
    </row>
    <row r="302" spans="6:16" ht="15" x14ac:dyDescent="0.25">
      <c r="F302" s="115"/>
      <c r="H302" s="24"/>
      <c r="I302" s="24"/>
      <c r="J302" s="24"/>
      <c r="K302" s="24"/>
      <c r="L302" s="24"/>
      <c r="M302" s="24"/>
      <c r="N302" s="24"/>
      <c r="O302" s="24"/>
      <c r="P302" s="24"/>
    </row>
    <row r="303" spans="6:16" ht="15" x14ac:dyDescent="0.25">
      <c r="F303" s="115"/>
      <c r="H303" s="24"/>
      <c r="I303" s="24"/>
      <c r="J303" s="24"/>
      <c r="K303" s="24"/>
      <c r="L303" s="24"/>
      <c r="M303" s="24"/>
      <c r="N303" s="24"/>
      <c r="O303" s="24"/>
      <c r="P303" s="24"/>
    </row>
    <row r="304" spans="6:16" ht="15" x14ac:dyDescent="0.25">
      <c r="F304" s="115"/>
      <c r="H304" s="24"/>
      <c r="I304" s="24"/>
      <c r="J304" s="24"/>
      <c r="K304" s="24"/>
      <c r="L304" s="24"/>
      <c r="M304" s="24"/>
      <c r="N304" s="24"/>
      <c r="O304" s="24"/>
      <c r="P304" s="24"/>
    </row>
    <row r="305" spans="6:16" ht="15" x14ac:dyDescent="0.25">
      <c r="F305" s="115"/>
      <c r="H305" s="24"/>
      <c r="I305" s="24"/>
      <c r="J305" s="24"/>
      <c r="K305" s="24"/>
      <c r="L305" s="24"/>
      <c r="M305" s="24"/>
      <c r="N305" s="24"/>
      <c r="O305" s="24"/>
      <c r="P305" s="24"/>
    </row>
    <row r="306" spans="6:16" ht="15" x14ac:dyDescent="0.25">
      <c r="F306" s="115"/>
      <c r="H306" s="24"/>
      <c r="I306" s="24"/>
      <c r="J306" s="24"/>
      <c r="K306" s="24"/>
      <c r="L306" s="24"/>
      <c r="M306" s="24"/>
      <c r="N306" s="24"/>
      <c r="O306" s="24"/>
      <c r="P306" s="24"/>
    </row>
    <row r="307" spans="6:16" ht="15" x14ac:dyDescent="0.25">
      <c r="F307" s="115"/>
      <c r="H307" s="24"/>
      <c r="I307" s="24"/>
      <c r="J307" s="24"/>
      <c r="K307" s="24"/>
      <c r="L307" s="24"/>
      <c r="M307" s="24"/>
      <c r="N307" s="24"/>
      <c r="O307" s="24"/>
      <c r="P307" s="24"/>
    </row>
    <row r="308" spans="6:16" ht="15" x14ac:dyDescent="0.25">
      <c r="F308" s="115"/>
      <c r="H308" s="24"/>
      <c r="I308" s="24"/>
      <c r="J308" s="24"/>
      <c r="K308" s="24"/>
      <c r="L308" s="24"/>
      <c r="M308" s="24"/>
      <c r="N308" s="24"/>
      <c r="O308" s="24"/>
      <c r="P308" s="24"/>
    </row>
    <row r="309" spans="6:16" ht="15" x14ac:dyDescent="0.25">
      <c r="F309" s="115"/>
      <c r="H309" s="24"/>
      <c r="I309" s="24"/>
      <c r="J309" s="24"/>
      <c r="K309" s="24"/>
      <c r="L309" s="24"/>
      <c r="M309" s="24"/>
      <c r="N309" s="24"/>
      <c r="O309" s="24"/>
      <c r="P309" s="24"/>
    </row>
    <row r="310" spans="6:16" ht="15" x14ac:dyDescent="0.25">
      <c r="F310" s="116"/>
      <c r="H310" s="24"/>
      <c r="I310" s="24"/>
      <c r="J310" s="24"/>
      <c r="K310" s="24"/>
      <c r="L310" s="24"/>
      <c r="M310" s="24"/>
      <c r="N310" s="24"/>
      <c r="O310" s="24"/>
      <c r="P310" s="24"/>
    </row>
    <row r="311" spans="6:16" ht="15" x14ac:dyDescent="0.25">
      <c r="F311" s="115"/>
      <c r="H311" s="24"/>
      <c r="I311" s="24"/>
      <c r="J311" s="24"/>
      <c r="K311" s="24"/>
      <c r="L311" s="24"/>
      <c r="M311" s="24"/>
      <c r="N311" s="24"/>
      <c r="O311" s="24"/>
      <c r="P311" s="24"/>
    </row>
    <row r="312" spans="6:16" ht="15" x14ac:dyDescent="0.25">
      <c r="F312" s="115"/>
      <c r="H312" s="24"/>
      <c r="I312" s="24"/>
      <c r="J312" s="24"/>
      <c r="K312" s="24"/>
      <c r="L312" s="24"/>
      <c r="M312" s="24"/>
      <c r="N312" s="24"/>
      <c r="O312" s="24"/>
      <c r="P312" s="24"/>
    </row>
    <row r="313" spans="6:16" ht="15" x14ac:dyDescent="0.25">
      <c r="F313" s="115"/>
      <c r="H313" s="24"/>
      <c r="I313" s="24"/>
      <c r="J313" s="24"/>
      <c r="K313" s="24"/>
      <c r="L313" s="24"/>
      <c r="M313" s="24"/>
      <c r="N313" s="24"/>
      <c r="O313" s="24"/>
      <c r="P313" s="24"/>
    </row>
    <row r="314" spans="6:16" ht="15" x14ac:dyDescent="0.25">
      <c r="F314" s="115"/>
      <c r="H314" s="24"/>
      <c r="I314" s="24"/>
      <c r="J314" s="24"/>
      <c r="K314" s="24"/>
      <c r="L314" s="24"/>
      <c r="M314" s="24"/>
      <c r="N314" s="24"/>
      <c r="O314" s="24"/>
      <c r="P314" s="24"/>
    </row>
    <row r="315" spans="6:16" ht="15" x14ac:dyDescent="0.25">
      <c r="F315" s="115"/>
      <c r="H315" s="24"/>
      <c r="I315" s="24"/>
      <c r="J315" s="24"/>
      <c r="K315" s="24"/>
      <c r="L315" s="24"/>
      <c r="M315" s="24"/>
      <c r="N315" s="24"/>
      <c r="O315" s="24"/>
      <c r="P315" s="24"/>
    </row>
    <row r="316" spans="6:16" ht="15" x14ac:dyDescent="0.25">
      <c r="F316" s="115"/>
      <c r="H316" s="24"/>
      <c r="I316" s="24"/>
      <c r="J316" s="24"/>
      <c r="K316" s="24"/>
      <c r="L316" s="24"/>
      <c r="M316" s="24"/>
      <c r="N316" s="24"/>
      <c r="O316" s="24"/>
      <c r="P316" s="24"/>
    </row>
    <row r="317" spans="6:16" ht="15" x14ac:dyDescent="0.25">
      <c r="F317" s="115"/>
      <c r="H317" s="24"/>
      <c r="I317" s="24"/>
      <c r="J317" s="24"/>
      <c r="K317" s="24"/>
      <c r="L317" s="24"/>
      <c r="M317" s="24"/>
      <c r="N317" s="24"/>
      <c r="O317" s="24"/>
      <c r="P317" s="24"/>
    </row>
    <row r="318" spans="6:16" ht="15" x14ac:dyDescent="0.25">
      <c r="F318" s="115"/>
      <c r="H318" s="24"/>
      <c r="I318" s="24"/>
      <c r="J318" s="24"/>
      <c r="K318" s="24"/>
      <c r="L318" s="24"/>
      <c r="M318" s="24"/>
      <c r="N318" s="24"/>
      <c r="O318" s="24"/>
      <c r="P318" s="24"/>
    </row>
    <row r="319" spans="6:16" ht="15" x14ac:dyDescent="0.25">
      <c r="F319" s="115"/>
      <c r="H319" s="24"/>
      <c r="I319" s="24"/>
      <c r="J319" s="24"/>
      <c r="K319" s="24"/>
      <c r="L319" s="24"/>
      <c r="M319" s="24"/>
      <c r="N319" s="24"/>
      <c r="O319" s="24"/>
      <c r="P319" s="24"/>
    </row>
    <row r="320" spans="6:16" ht="15" x14ac:dyDescent="0.25">
      <c r="F320" s="115"/>
      <c r="H320" s="24"/>
      <c r="I320" s="24"/>
      <c r="J320" s="24"/>
      <c r="K320" s="24"/>
      <c r="L320" s="24"/>
      <c r="M320" s="24"/>
      <c r="N320" s="24"/>
      <c r="O320" s="24"/>
      <c r="P320" s="24"/>
    </row>
    <row r="321" spans="6:16" ht="15" x14ac:dyDescent="0.25">
      <c r="F321" s="115"/>
      <c r="H321" s="24"/>
      <c r="I321" s="24"/>
      <c r="J321" s="24"/>
      <c r="K321" s="24"/>
      <c r="L321" s="24"/>
      <c r="M321" s="24"/>
      <c r="N321" s="24"/>
      <c r="O321" s="24"/>
      <c r="P321" s="24"/>
    </row>
    <row r="322" spans="6:16" ht="15" x14ac:dyDescent="0.25">
      <c r="F322" s="115"/>
      <c r="H322" s="24"/>
      <c r="I322" s="24"/>
      <c r="J322" s="24"/>
      <c r="K322" s="24"/>
      <c r="L322" s="24"/>
      <c r="M322" s="24"/>
      <c r="N322" s="24"/>
      <c r="O322" s="24"/>
      <c r="P322" s="24"/>
    </row>
    <row r="323" spans="6:16" ht="15" x14ac:dyDescent="0.25">
      <c r="F323" s="115"/>
      <c r="H323" s="24"/>
      <c r="I323" s="24"/>
      <c r="J323" s="24"/>
      <c r="K323" s="24"/>
      <c r="L323" s="24"/>
      <c r="M323" s="24"/>
      <c r="N323" s="24"/>
      <c r="O323" s="24"/>
      <c r="P323" s="24"/>
    </row>
    <row r="324" spans="6:16" ht="15" x14ac:dyDescent="0.25">
      <c r="F324" s="115"/>
      <c r="H324" s="24"/>
      <c r="I324" s="24"/>
      <c r="J324" s="24"/>
      <c r="K324" s="24"/>
      <c r="L324" s="24"/>
      <c r="M324" s="24"/>
      <c r="N324" s="24"/>
      <c r="O324" s="24"/>
      <c r="P324" s="24"/>
    </row>
    <row r="325" spans="6:16" ht="15" x14ac:dyDescent="0.25">
      <c r="F325" s="115"/>
      <c r="H325" s="24"/>
      <c r="I325" s="24"/>
      <c r="J325" s="24"/>
      <c r="K325" s="24"/>
      <c r="L325" s="24"/>
      <c r="M325" s="24"/>
      <c r="N325" s="24"/>
      <c r="O325" s="24"/>
      <c r="P325" s="24"/>
    </row>
    <row r="326" spans="6:16" ht="15" x14ac:dyDescent="0.25">
      <c r="F326" s="115"/>
      <c r="H326" s="24"/>
      <c r="I326" s="24"/>
      <c r="J326" s="24"/>
      <c r="K326" s="24"/>
      <c r="L326" s="24"/>
      <c r="M326" s="24"/>
      <c r="N326" s="24"/>
      <c r="O326" s="24"/>
      <c r="P326" s="24"/>
    </row>
    <row r="327" spans="6:16" ht="15" x14ac:dyDescent="0.25">
      <c r="F327" s="115"/>
      <c r="H327" s="24"/>
      <c r="I327" s="24"/>
      <c r="J327" s="24"/>
      <c r="K327" s="24"/>
      <c r="L327" s="24"/>
      <c r="M327" s="24"/>
      <c r="N327" s="24"/>
      <c r="O327" s="24"/>
      <c r="P327" s="24"/>
    </row>
    <row r="328" spans="6:16" ht="15" x14ac:dyDescent="0.25">
      <c r="F328" s="115"/>
      <c r="H328" s="24"/>
      <c r="I328" s="24"/>
      <c r="J328" s="24"/>
      <c r="K328" s="24"/>
      <c r="L328" s="24"/>
      <c r="M328" s="24"/>
      <c r="N328" s="24"/>
      <c r="O328" s="24"/>
      <c r="P328" s="24"/>
    </row>
    <row r="329" spans="6:16" ht="15" x14ac:dyDescent="0.25">
      <c r="F329" s="115"/>
      <c r="H329" s="24"/>
      <c r="I329" s="24"/>
      <c r="J329" s="24"/>
      <c r="K329" s="24"/>
      <c r="L329" s="24"/>
      <c r="M329" s="24"/>
      <c r="N329" s="24"/>
      <c r="O329" s="24"/>
      <c r="P329" s="24"/>
    </row>
    <row r="330" spans="6:16" ht="15" x14ac:dyDescent="0.25">
      <c r="F330" s="115"/>
      <c r="H330" s="24"/>
      <c r="I330" s="24"/>
      <c r="J330" s="24"/>
      <c r="K330" s="24"/>
      <c r="L330" s="24"/>
      <c r="M330" s="24"/>
      <c r="N330" s="24"/>
      <c r="O330" s="24"/>
      <c r="P330" s="24"/>
    </row>
    <row r="331" spans="6:16" ht="15" x14ac:dyDescent="0.25">
      <c r="F331" s="115"/>
      <c r="H331" s="24"/>
      <c r="I331" s="24"/>
      <c r="J331" s="24"/>
      <c r="K331" s="24"/>
      <c r="L331" s="24"/>
      <c r="M331" s="24"/>
      <c r="N331" s="24"/>
      <c r="O331" s="24"/>
      <c r="P331" s="24"/>
    </row>
    <row r="332" spans="6:16" ht="15" x14ac:dyDescent="0.25">
      <c r="F332" s="115"/>
      <c r="H332" s="24"/>
      <c r="I332" s="24"/>
      <c r="J332" s="24"/>
      <c r="K332" s="24"/>
      <c r="L332" s="24"/>
      <c r="M332" s="24"/>
      <c r="N332" s="24"/>
      <c r="O332" s="24"/>
      <c r="P332" s="24"/>
    </row>
    <row r="333" spans="6:16" ht="15" x14ac:dyDescent="0.25">
      <c r="F333" s="115"/>
      <c r="H333" s="24"/>
      <c r="I333" s="24"/>
      <c r="J333" s="24"/>
      <c r="K333" s="24"/>
      <c r="L333" s="24"/>
      <c r="M333" s="24"/>
      <c r="N333" s="24"/>
      <c r="O333" s="24"/>
      <c r="P333" s="24"/>
    </row>
    <row r="334" spans="6:16" ht="15" x14ac:dyDescent="0.25">
      <c r="F334" s="115"/>
      <c r="H334" s="24"/>
      <c r="I334" s="24"/>
      <c r="J334" s="24"/>
      <c r="K334" s="24"/>
      <c r="L334" s="24"/>
      <c r="M334" s="24"/>
      <c r="N334" s="24"/>
      <c r="O334" s="24"/>
      <c r="P334" s="24"/>
    </row>
    <row r="335" spans="6:16" ht="15" x14ac:dyDescent="0.25">
      <c r="F335" s="115"/>
      <c r="H335" s="24"/>
      <c r="I335" s="24"/>
      <c r="J335" s="24"/>
      <c r="K335" s="24"/>
      <c r="L335" s="24"/>
      <c r="M335" s="24"/>
      <c r="N335" s="24"/>
      <c r="O335" s="24"/>
      <c r="P335" s="24"/>
    </row>
    <row r="336" spans="6:16" ht="15" x14ac:dyDescent="0.25">
      <c r="F336" s="115"/>
      <c r="H336" s="24"/>
      <c r="I336" s="24"/>
      <c r="J336" s="24"/>
      <c r="K336" s="24"/>
      <c r="L336" s="24"/>
      <c r="M336" s="24"/>
      <c r="N336" s="24"/>
      <c r="O336" s="24"/>
      <c r="P336" s="24"/>
    </row>
    <row r="337" spans="6:16" ht="15" x14ac:dyDescent="0.25">
      <c r="F337" s="115"/>
      <c r="H337" s="24"/>
      <c r="I337" s="24"/>
      <c r="J337" s="24"/>
      <c r="K337" s="24"/>
      <c r="L337" s="24"/>
      <c r="M337" s="24"/>
      <c r="N337" s="24"/>
      <c r="O337" s="24"/>
      <c r="P337" s="24"/>
    </row>
    <row r="338" spans="6:16" ht="15" x14ac:dyDescent="0.25">
      <c r="F338" s="115"/>
      <c r="H338" s="24"/>
      <c r="I338" s="24"/>
      <c r="J338" s="24"/>
      <c r="K338" s="24"/>
      <c r="L338" s="24"/>
      <c r="M338" s="24"/>
      <c r="N338" s="24"/>
      <c r="O338" s="24"/>
      <c r="P338" s="24"/>
    </row>
    <row r="339" spans="6:16" ht="15" x14ac:dyDescent="0.25">
      <c r="F339" s="115"/>
      <c r="H339" s="24"/>
      <c r="I339" s="24"/>
      <c r="J339" s="24"/>
      <c r="K339" s="24"/>
      <c r="L339" s="24"/>
      <c r="M339" s="24"/>
      <c r="N339" s="24"/>
      <c r="O339" s="24"/>
      <c r="P339" s="24"/>
    </row>
    <row r="340" spans="6:16" ht="15" x14ac:dyDescent="0.25">
      <c r="F340" s="115"/>
      <c r="H340" s="24"/>
      <c r="I340" s="24"/>
      <c r="J340" s="24"/>
      <c r="K340" s="24"/>
      <c r="L340" s="24"/>
      <c r="M340" s="24"/>
      <c r="N340" s="24"/>
      <c r="O340" s="24"/>
      <c r="P340" s="24"/>
    </row>
    <row r="341" spans="6:16" ht="15" x14ac:dyDescent="0.25">
      <c r="F341" s="115"/>
      <c r="H341" s="24"/>
      <c r="I341" s="24"/>
      <c r="J341" s="24"/>
      <c r="K341" s="24"/>
      <c r="L341" s="24"/>
      <c r="M341" s="24"/>
      <c r="N341" s="24"/>
      <c r="O341" s="24"/>
      <c r="P341" s="24"/>
    </row>
    <row r="342" spans="6:16" ht="15" x14ac:dyDescent="0.25">
      <c r="F342" s="115"/>
      <c r="H342" s="24"/>
      <c r="I342" s="24"/>
      <c r="J342" s="24"/>
      <c r="K342" s="24"/>
      <c r="L342" s="24"/>
      <c r="M342" s="24"/>
      <c r="N342" s="24"/>
      <c r="O342" s="24"/>
      <c r="P342" s="24"/>
    </row>
    <row r="343" spans="6:16" ht="15" x14ac:dyDescent="0.25">
      <c r="F343" s="115"/>
      <c r="H343" s="24"/>
      <c r="I343" s="24"/>
      <c r="J343" s="24"/>
      <c r="K343" s="24"/>
      <c r="L343" s="24"/>
      <c r="M343" s="24"/>
      <c r="N343" s="24"/>
      <c r="O343" s="24"/>
      <c r="P343" s="24"/>
    </row>
    <row r="344" spans="6:16" ht="15" x14ac:dyDescent="0.25">
      <c r="F344" s="115"/>
      <c r="H344" s="24"/>
      <c r="I344" s="24"/>
      <c r="J344" s="24"/>
      <c r="K344" s="24"/>
      <c r="L344" s="24"/>
      <c r="M344" s="24"/>
      <c r="N344" s="24"/>
      <c r="O344" s="24"/>
      <c r="P344" s="24"/>
    </row>
    <row r="345" spans="6:16" ht="15" x14ac:dyDescent="0.25">
      <c r="F345" s="115"/>
      <c r="H345" s="24"/>
      <c r="I345" s="24"/>
      <c r="J345" s="24"/>
      <c r="K345" s="24"/>
      <c r="L345" s="24"/>
      <c r="M345" s="24"/>
      <c r="N345" s="24"/>
      <c r="O345" s="24"/>
      <c r="P345" s="24"/>
    </row>
    <row r="346" spans="6:16" ht="15" x14ac:dyDescent="0.25">
      <c r="F346" s="115"/>
      <c r="H346" s="24"/>
      <c r="I346" s="24"/>
      <c r="J346" s="24"/>
      <c r="K346" s="24"/>
      <c r="L346" s="24"/>
      <c r="M346" s="24"/>
      <c r="N346" s="24"/>
      <c r="O346" s="24"/>
      <c r="P346" s="24"/>
    </row>
    <row r="347" spans="6:16" ht="15" x14ac:dyDescent="0.25">
      <c r="F347" s="115"/>
      <c r="H347" s="24"/>
      <c r="I347" s="24"/>
      <c r="J347" s="24"/>
      <c r="K347" s="24"/>
      <c r="L347" s="24"/>
      <c r="M347" s="24"/>
      <c r="N347" s="24"/>
      <c r="O347" s="24"/>
      <c r="P347" s="24"/>
    </row>
    <row r="348" spans="6:16" ht="15" x14ac:dyDescent="0.25">
      <c r="F348" s="115"/>
      <c r="H348" s="24"/>
      <c r="I348" s="24"/>
      <c r="J348" s="24"/>
      <c r="K348" s="24"/>
      <c r="L348" s="24"/>
      <c r="M348" s="24"/>
      <c r="N348" s="24"/>
      <c r="O348" s="24"/>
      <c r="P348" s="24"/>
    </row>
    <row r="349" spans="6:16" ht="15" x14ac:dyDescent="0.25">
      <c r="F349" s="115"/>
      <c r="H349" s="24"/>
      <c r="I349" s="24"/>
      <c r="J349" s="24"/>
      <c r="K349" s="24"/>
      <c r="L349" s="24"/>
      <c r="M349" s="24"/>
      <c r="N349" s="24"/>
      <c r="O349" s="24"/>
      <c r="P349" s="24"/>
    </row>
    <row r="350" spans="6:16" ht="15" x14ac:dyDescent="0.25">
      <c r="F350" s="115"/>
      <c r="H350" s="24"/>
      <c r="I350" s="24"/>
      <c r="J350" s="24"/>
      <c r="K350" s="24"/>
      <c r="L350" s="24"/>
      <c r="M350" s="24"/>
      <c r="N350" s="24"/>
      <c r="O350" s="24"/>
      <c r="P350" s="24"/>
    </row>
    <row r="351" spans="6:16" ht="15" x14ac:dyDescent="0.25">
      <c r="F351" s="115"/>
      <c r="H351" s="24"/>
      <c r="I351" s="24"/>
      <c r="J351" s="24"/>
      <c r="K351" s="24"/>
      <c r="L351" s="24"/>
      <c r="M351" s="24"/>
      <c r="N351" s="24"/>
      <c r="O351" s="24"/>
      <c r="P351" s="24"/>
    </row>
    <row r="352" spans="6:16" ht="15" x14ac:dyDescent="0.25">
      <c r="F352" s="115"/>
      <c r="H352" s="24"/>
      <c r="I352" s="24"/>
      <c r="J352" s="24"/>
      <c r="K352" s="24"/>
      <c r="L352" s="24"/>
      <c r="M352" s="24"/>
      <c r="N352" s="24"/>
      <c r="O352" s="24"/>
      <c r="P352" s="24"/>
    </row>
    <row r="353" spans="6:16" ht="15" x14ac:dyDescent="0.25">
      <c r="F353" s="115"/>
      <c r="H353" s="24"/>
      <c r="I353" s="24"/>
      <c r="J353" s="24"/>
      <c r="K353" s="24"/>
      <c r="L353" s="24"/>
      <c r="M353" s="24"/>
      <c r="N353" s="24"/>
      <c r="O353" s="24"/>
      <c r="P353" s="24"/>
    </row>
    <row r="354" spans="6:16" ht="15" x14ac:dyDescent="0.25">
      <c r="F354" s="115"/>
      <c r="H354" s="24"/>
      <c r="I354" s="24"/>
      <c r="J354" s="24"/>
      <c r="K354" s="24"/>
      <c r="L354" s="24"/>
      <c r="M354" s="24"/>
      <c r="N354" s="24"/>
      <c r="O354" s="24"/>
      <c r="P354" s="24"/>
    </row>
    <row r="355" spans="6:16" ht="15" x14ac:dyDescent="0.25">
      <c r="F355" s="115"/>
      <c r="H355" s="24"/>
      <c r="I355" s="24"/>
      <c r="J355" s="24"/>
      <c r="K355" s="24"/>
      <c r="L355" s="24"/>
      <c r="M355" s="24"/>
      <c r="N355" s="24"/>
      <c r="O355" s="24"/>
      <c r="P355" s="24"/>
    </row>
    <row r="356" spans="6:16" ht="15" x14ac:dyDescent="0.25">
      <c r="F356" s="115"/>
      <c r="H356" s="24"/>
      <c r="I356" s="24"/>
      <c r="J356" s="24"/>
      <c r="K356" s="24"/>
      <c r="L356" s="24"/>
      <c r="M356" s="24"/>
      <c r="N356" s="24"/>
      <c r="O356" s="24"/>
      <c r="P356" s="24"/>
    </row>
    <row r="357" spans="6:16" ht="15" x14ac:dyDescent="0.25">
      <c r="F357" s="115"/>
      <c r="H357" s="24"/>
      <c r="I357" s="24"/>
      <c r="J357" s="24"/>
      <c r="K357" s="24"/>
      <c r="L357" s="24"/>
      <c r="M357" s="24"/>
      <c r="N357" s="24"/>
      <c r="O357" s="24"/>
      <c r="P357" s="24"/>
    </row>
    <row r="358" spans="6:16" ht="15" x14ac:dyDescent="0.25">
      <c r="F358" s="115"/>
      <c r="H358" s="24"/>
      <c r="I358" s="24"/>
      <c r="J358" s="24"/>
      <c r="K358" s="24"/>
      <c r="L358" s="24"/>
      <c r="M358" s="24"/>
      <c r="N358" s="24"/>
      <c r="O358" s="24"/>
      <c r="P358" s="24"/>
    </row>
    <row r="359" spans="6:16" ht="15" x14ac:dyDescent="0.25">
      <c r="F359" s="115"/>
      <c r="H359" s="24"/>
      <c r="I359" s="24"/>
      <c r="J359" s="24"/>
      <c r="K359" s="24"/>
      <c r="L359" s="24"/>
      <c r="M359" s="24"/>
      <c r="N359" s="24"/>
      <c r="O359" s="24"/>
      <c r="P359" s="24"/>
    </row>
    <row r="360" spans="6:16" ht="15" x14ac:dyDescent="0.25">
      <c r="F360" s="115"/>
      <c r="H360" s="24"/>
      <c r="I360" s="24"/>
      <c r="J360" s="24"/>
      <c r="K360" s="24"/>
      <c r="L360" s="24"/>
      <c r="M360" s="24"/>
      <c r="N360" s="24"/>
      <c r="O360" s="24"/>
      <c r="P360" s="24"/>
    </row>
    <row r="361" spans="6:16" ht="15" x14ac:dyDescent="0.25">
      <c r="F361" s="115"/>
      <c r="H361" s="24"/>
      <c r="I361" s="24"/>
      <c r="J361" s="24"/>
      <c r="K361" s="24"/>
      <c r="L361" s="24"/>
      <c r="M361" s="24"/>
      <c r="N361" s="24"/>
      <c r="O361" s="24"/>
      <c r="P361" s="24"/>
    </row>
    <row r="362" spans="6:16" ht="15" x14ac:dyDescent="0.25">
      <c r="F362" s="115"/>
      <c r="H362" s="24"/>
      <c r="I362" s="24"/>
      <c r="J362" s="24"/>
      <c r="K362" s="24"/>
      <c r="L362" s="24"/>
      <c r="M362" s="24"/>
      <c r="N362" s="24"/>
      <c r="O362" s="24"/>
      <c r="P362" s="24"/>
    </row>
    <row r="363" spans="6:16" ht="15" x14ac:dyDescent="0.25">
      <c r="F363" s="115"/>
      <c r="H363" s="24"/>
      <c r="I363" s="24"/>
      <c r="J363" s="24"/>
      <c r="K363" s="24"/>
      <c r="L363" s="24"/>
      <c r="M363" s="24"/>
      <c r="N363" s="24"/>
      <c r="O363" s="24"/>
      <c r="P363" s="24"/>
    </row>
    <row r="364" spans="6:16" ht="15" x14ac:dyDescent="0.25">
      <c r="F364" s="115"/>
      <c r="H364" s="24"/>
      <c r="I364" s="24"/>
      <c r="J364" s="24"/>
      <c r="K364" s="24"/>
      <c r="L364" s="24"/>
      <c r="M364" s="24"/>
      <c r="N364" s="24"/>
      <c r="O364" s="24"/>
      <c r="P364" s="24"/>
    </row>
    <row r="365" spans="6:16" ht="15" x14ac:dyDescent="0.25">
      <c r="F365" s="115"/>
      <c r="H365" s="24"/>
      <c r="I365" s="24"/>
      <c r="J365" s="24"/>
      <c r="K365" s="24"/>
      <c r="L365" s="24"/>
      <c r="M365" s="24"/>
      <c r="N365" s="24"/>
      <c r="O365" s="24"/>
      <c r="P365" s="24"/>
    </row>
    <row r="366" spans="6:16" ht="15" x14ac:dyDescent="0.25">
      <c r="F366" s="115"/>
      <c r="H366" s="24"/>
      <c r="I366" s="24"/>
      <c r="J366" s="24"/>
      <c r="K366" s="24"/>
      <c r="L366" s="24"/>
      <c r="M366" s="24"/>
      <c r="N366" s="24"/>
      <c r="O366" s="24"/>
      <c r="P366" s="24"/>
    </row>
    <row r="367" spans="6:16" ht="15" x14ac:dyDescent="0.25">
      <c r="F367" s="115"/>
      <c r="H367" s="24"/>
      <c r="I367" s="24"/>
      <c r="J367" s="24"/>
      <c r="K367" s="24"/>
      <c r="L367" s="24"/>
      <c r="M367" s="24"/>
      <c r="N367" s="24"/>
      <c r="O367" s="24"/>
      <c r="P367" s="24"/>
    </row>
    <row r="368" spans="6:16" ht="15" x14ac:dyDescent="0.25">
      <c r="F368" s="115"/>
      <c r="H368" s="24"/>
      <c r="I368" s="24"/>
      <c r="J368" s="24"/>
      <c r="K368" s="24"/>
      <c r="L368" s="24"/>
      <c r="M368" s="24"/>
      <c r="N368" s="24"/>
      <c r="O368" s="24"/>
      <c r="P368" s="24"/>
    </row>
    <row r="369" spans="6:16" ht="15" x14ac:dyDescent="0.25">
      <c r="F369" s="115"/>
      <c r="H369" s="24"/>
      <c r="I369" s="24"/>
      <c r="J369" s="24"/>
      <c r="K369" s="24"/>
      <c r="L369" s="24"/>
      <c r="M369" s="24"/>
      <c r="N369" s="24"/>
      <c r="O369" s="24"/>
      <c r="P369" s="24"/>
    </row>
    <row r="370" spans="6:16" ht="15" x14ac:dyDescent="0.25">
      <c r="F370" s="115"/>
      <c r="H370" s="24"/>
      <c r="I370" s="24"/>
      <c r="J370" s="24"/>
      <c r="K370" s="24"/>
      <c r="L370" s="24"/>
      <c r="M370" s="24"/>
      <c r="N370" s="24"/>
      <c r="O370" s="24"/>
      <c r="P370" s="24"/>
    </row>
    <row r="371" spans="6:16" ht="15" x14ac:dyDescent="0.25">
      <c r="F371" s="115"/>
      <c r="H371" s="24"/>
      <c r="I371" s="24"/>
      <c r="J371" s="24"/>
      <c r="K371" s="24"/>
      <c r="L371" s="24"/>
      <c r="M371" s="24"/>
      <c r="N371" s="24"/>
      <c r="O371" s="24"/>
      <c r="P371" s="24"/>
    </row>
    <row r="372" spans="6:16" ht="15" x14ac:dyDescent="0.25">
      <c r="F372" s="115"/>
      <c r="H372" s="24"/>
      <c r="I372" s="24"/>
      <c r="J372" s="24"/>
      <c r="K372" s="24"/>
      <c r="L372" s="24"/>
      <c r="M372" s="24"/>
      <c r="N372" s="24"/>
      <c r="O372" s="24"/>
      <c r="P372" s="24"/>
    </row>
    <row r="373" spans="6:16" ht="15" x14ac:dyDescent="0.25">
      <c r="F373" s="115"/>
      <c r="H373" s="24"/>
      <c r="I373" s="24"/>
      <c r="J373" s="24"/>
      <c r="K373" s="24"/>
      <c r="L373" s="24"/>
      <c r="M373" s="24"/>
      <c r="N373" s="24"/>
      <c r="O373" s="24"/>
      <c r="P373" s="24"/>
    </row>
    <row r="374" spans="6:16" ht="15" x14ac:dyDescent="0.25">
      <c r="F374" s="115"/>
      <c r="H374" s="24"/>
      <c r="I374" s="24"/>
      <c r="J374" s="24"/>
      <c r="K374" s="24"/>
      <c r="L374" s="24"/>
      <c r="M374" s="24"/>
      <c r="N374" s="24"/>
      <c r="O374" s="24"/>
      <c r="P374" s="24"/>
    </row>
    <row r="375" spans="6:16" ht="15" x14ac:dyDescent="0.25">
      <c r="F375" s="115"/>
      <c r="H375" s="24"/>
      <c r="I375" s="24"/>
      <c r="J375" s="24"/>
      <c r="K375" s="24"/>
      <c r="L375" s="24"/>
      <c r="M375" s="24"/>
      <c r="N375" s="24"/>
      <c r="O375" s="24"/>
      <c r="P375" s="24"/>
    </row>
    <row r="376" spans="6:16" ht="15" x14ac:dyDescent="0.25">
      <c r="F376" s="115"/>
      <c r="H376" s="24"/>
      <c r="I376" s="24"/>
      <c r="J376" s="24"/>
      <c r="K376" s="24"/>
      <c r="L376" s="24"/>
      <c r="M376" s="24"/>
      <c r="N376" s="24"/>
      <c r="O376" s="24"/>
      <c r="P376" s="24"/>
    </row>
    <row r="377" spans="6:16" ht="15" x14ac:dyDescent="0.25">
      <c r="F377" s="115"/>
      <c r="H377" s="24"/>
      <c r="I377" s="24"/>
      <c r="J377" s="24"/>
      <c r="K377" s="24"/>
      <c r="L377" s="24"/>
      <c r="M377" s="24"/>
      <c r="N377" s="24"/>
      <c r="O377" s="24"/>
      <c r="P377" s="24"/>
    </row>
    <row r="378" spans="6:16" ht="15" x14ac:dyDescent="0.25">
      <c r="F378" s="115"/>
      <c r="H378" s="24"/>
      <c r="I378" s="24"/>
      <c r="J378" s="24"/>
      <c r="K378" s="24"/>
      <c r="L378" s="24"/>
      <c r="M378" s="24"/>
      <c r="N378" s="24"/>
      <c r="O378" s="24"/>
      <c r="P378" s="24"/>
    </row>
    <row r="379" spans="6:16" ht="15" x14ac:dyDescent="0.25">
      <c r="F379" s="115"/>
      <c r="H379" s="24"/>
      <c r="I379" s="24"/>
      <c r="J379" s="24"/>
      <c r="K379" s="24"/>
      <c r="L379" s="24"/>
      <c r="M379" s="24"/>
      <c r="N379" s="24"/>
      <c r="O379" s="24"/>
      <c r="P379" s="24"/>
    </row>
    <row r="380" spans="6:16" ht="15" x14ac:dyDescent="0.25">
      <c r="F380" s="115"/>
      <c r="H380" s="24"/>
      <c r="I380" s="24"/>
      <c r="J380" s="24"/>
      <c r="K380" s="24"/>
      <c r="L380" s="24"/>
      <c r="M380" s="24"/>
      <c r="N380" s="24"/>
      <c r="O380" s="24"/>
      <c r="P380" s="24"/>
    </row>
    <row r="381" spans="6:16" ht="15" x14ac:dyDescent="0.25">
      <c r="F381" s="115"/>
      <c r="H381" s="24"/>
      <c r="I381" s="24"/>
      <c r="J381" s="24"/>
      <c r="K381" s="24"/>
      <c r="L381" s="24"/>
      <c r="M381" s="24"/>
      <c r="N381" s="24"/>
      <c r="O381" s="24"/>
      <c r="P381" s="24"/>
    </row>
    <row r="382" spans="6:16" ht="15" x14ac:dyDescent="0.25">
      <c r="F382" s="115"/>
      <c r="H382" s="24"/>
      <c r="I382" s="24"/>
      <c r="J382" s="24"/>
      <c r="K382" s="24"/>
      <c r="L382" s="24"/>
      <c r="M382" s="24"/>
      <c r="N382" s="24"/>
      <c r="O382" s="24"/>
      <c r="P382" s="24"/>
    </row>
    <row r="383" spans="6:16" ht="15" x14ac:dyDescent="0.25">
      <c r="F383" s="115"/>
      <c r="H383" s="24"/>
      <c r="I383" s="24"/>
      <c r="J383" s="24"/>
      <c r="K383" s="24"/>
      <c r="L383" s="24"/>
      <c r="M383" s="24"/>
      <c r="N383" s="24"/>
      <c r="O383" s="24"/>
      <c r="P383" s="24"/>
    </row>
    <row r="384" spans="6:16" ht="15" x14ac:dyDescent="0.25">
      <c r="F384" s="115"/>
      <c r="H384" s="24"/>
      <c r="I384" s="24"/>
      <c r="J384" s="24"/>
      <c r="K384" s="24"/>
      <c r="L384" s="24"/>
      <c r="M384" s="24"/>
      <c r="N384" s="24"/>
      <c r="O384" s="24"/>
      <c r="P384" s="24"/>
    </row>
    <row r="385" spans="6:16" ht="15" x14ac:dyDescent="0.25">
      <c r="F385" s="115"/>
      <c r="H385" s="24"/>
      <c r="I385" s="24"/>
      <c r="J385" s="24"/>
      <c r="K385" s="24"/>
      <c r="L385" s="24"/>
      <c r="M385" s="24"/>
      <c r="N385" s="24"/>
      <c r="O385" s="24"/>
      <c r="P385" s="24"/>
    </row>
    <row r="386" spans="6:16" ht="15" x14ac:dyDescent="0.25">
      <c r="F386" s="115"/>
      <c r="H386" s="24"/>
      <c r="I386" s="24"/>
      <c r="J386" s="24"/>
      <c r="K386" s="24"/>
      <c r="L386" s="24"/>
      <c r="M386" s="24"/>
      <c r="N386" s="24"/>
      <c r="O386" s="24"/>
      <c r="P386" s="24"/>
    </row>
    <row r="387" spans="6:16" ht="15" x14ac:dyDescent="0.25">
      <c r="F387" s="115"/>
      <c r="H387" s="24"/>
      <c r="I387" s="24"/>
      <c r="J387" s="24"/>
      <c r="K387" s="24"/>
      <c r="L387" s="24"/>
      <c r="M387" s="24"/>
      <c r="N387" s="24"/>
      <c r="O387" s="24"/>
      <c r="P387" s="24"/>
    </row>
    <row r="388" spans="6:16" ht="15" x14ac:dyDescent="0.25">
      <c r="F388" s="115"/>
      <c r="H388" s="24"/>
      <c r="I388" s="24"/>
      <c r="J388" s="24"/>
      <c r="K388" s="24"/>
      <c r="L388" s="24"/>
      <c r="M388" s="24"/>
      <c r="N388" s="24"/>
      <c r="O388" s="24"/>
      <c r="P388" s="24"/>
    </row>
    <row r="389" spans="6:16" ht="15" x14ac:dyDescent="0.25">
      <c r="F389" s="115"/>
      <c r="H389" s="24"/>
      <c r="I389" s="24"/>
      <c r="J389" s="24"/>
      <c r="K389" s="24"/>
      <c r="L389" s="24"/>
      <c r="M389" s="24"/>
      <c r="N389" s="24"/>
      <c r="O389" s="24"/>
      <c r="P389" s="24"/>
    </row>
    <row r="390" spans="6:16" ht="15" x14ac:dyDescent="0.25">
      <c r="F390" s="115"/>
      <c r="H390" s="24"/>
      <c r="I390" s="24"/>
      <c r="J390" s="24"/>
      <c r="K390" s="24"/>
      <c r="L390" s="24"/>
      <c r="M390" s="24"/>
      <c r="N390" s="24"/>
      <c r="O390" s="24"/>
      <c r="P390" s="24"/>
    </row>
    <row r="391" spans="6:16" ht="15" x14ac:dyDescent="0.25">
      <c r="F391" s="115"/>
      <c r="H391" s="24"/>
      <c r="I391" s="24"/>
      <c r="J391" s="24"/>
      <c r="K391" s="24"/>
      <c r="L391" s="24"/>
      <c r="M391" s="24"/>
      <c r="N391" s="24"/>
      <c r="O391" s="24"/>
      <c r="P391" s="24"/>
    </row>
    <row r="392" spans="6:16" ht="15" x14ac:dyDescent="0.25">
      <c r="F392" s="115"/>
      <c r="H392" s="24"/>
      <c r="I392" s="24"/>
      <c r="J392" s="24"/>
      <c r="K392" s="24"/>
      <c r="L392" s="24"/>
      <c r="M392" s="24"/>
      <c r="N392" s="24"/>
      <c r="O392" s="24"/>
      <c r="P392" s="24"/>
    </row>
    <row r="393" spans="6:16" ht="15" x14ac:dyDescent="0.25">
      <c r="F393" s="115"/>
      <c r="H393" s="24"/>
      <c r="I393" s="24"/>
      <c r="J393" s="24"/>
      <c r="K393" s="24"/>
      <c r="L393" s="24"/>
      <c r="M393" s="24"/>
      <c r="N393" s="24"/>
      <c r="O393" s="24"/>
      <c r="P393" s="24"/>
    </row>
    <row r="394" spans="6:16" ht="15" x14ac:dyDescent="0.25">
      <c r="F394" s="115"/>
      <c r="H394" s="24"/>
      <c r="I394" s="24"/>
      <c r="J394" s="24"/>
      <c r="K394" s="24"/>
      <c r="L394" s="24"/>
      <c r="M394" s="24"/>
      <c r="N394" s="24"/>
      <c r="O394" s="24"/>
      <c r="P394" s="24"/>
    </row>
    <row r="395" spans="6:16" ht="15" x14ac:dyDescent="0.25">
      <c r="F395" s="115"/>
      <c r="H395" s="24"/>
      <c r="I395" s="24"/>
      <c r="J395" s="24"/>
      <c r="K395" s="24"/>
      <c r="L395" s="24"/>
      <c r="M395" s="24"/>
      <c r="N395" s="24"/>
      <c r="O395" s="24"/>
      <c r="P395" s="24"/>
    </row>
    <row r="396" spans="6:16" ht="15" x14ac:dyDescent="0.25">
      <c r="F396" s="115"/>
      <c r="H396" s="24"/>
      <c r="I396" s="24"/>
      <c r="J396" s="24"/>
      <c r="K396" s="24"/>
      <c r="L396" s="24"/>
      <c r="M396" s="24"/>
      <c r="N396" s="24"/>
      <c r="O396" s="24"/>
      <c r="P396" s="24"/>
    </row>
    <row r="397" spans="6:16" ht="15" x14ac:dyDescent="0.25">
      <c r="F397" s="115"/>
      <c r="H397" s="24"/>
      <c r="I397" s="24"/>
      <c r="J397" s="24"/>
      <c r="K397" s="24"/>
      <c r="L397" s="24"/>
      <c r="M397" s="24"/>
      <c r="N397" s="24"/>
      <c r="O397" s="24"/>
      <c r="P397" s="24"/>
    </row>
    <row r="398" spans="6:16" ht="15" x14ac:dyDescent="0.25">
      <c r="F398" s="115"/>
      <c r="H398" s="24"/>
      <c r="I398" s="24"/>
      <c r="J398" s="24"/>
      <c r="K398" s="24"/>
      <c r="L398" s="24"/>
      <c r="M398" s="24"/>
      <c r="N398" s="24"/>
      <c r="O398" s="24"/>
      <c r="P398" s="24"/>
    </row>
    <row r="399" spans="6:16" ht="15" x14ac:dyDescent="0.25">
      <c r="F399" s="115"/>
      <c r="H399" s="24"/>
      <c r="I399" s="24"/>
      <c r="J399" s="24"/>
      <c r="K399" s="24"/>
      <c r="L399" s="24"/>
      <c r="M399" s="24"/>
      <c r="N399" s="24"/>
      <c r="O399" s="24"/>
      <c r="P399" s="24"/>
    </row>
    <row r="400" spans="6:16" ht="15" x14ac:dyDescent="0.25">
      <c r="F400" s="115"/>
      <c r="H400" s="24"/>
      <c r="I400" s="24"/>
      <c r="J400" s="24"/>
      <c r="K400" s="24"/>
      <c r="L400" s="24"/>
      <c r="M400" s="24"/>
      <c r="N400" s="24"/>
      <c r="O400" s="24"/>
      <c r="P400" s="24"/>
    </row>
    <row r="401" spans="6:16" ht="15" x14ac:dyDescent="0.25">
      <c r="F401" s="115"/>
      <c r="H401" s="24"/>
      <c r="I401" s="24"/>
      <c r="J401" s="24"/>
      <c r="K401" s="24"/>
      <c r="L401" s="24"/>
      <c r="M401" s="24"/>
      <c r="N401" s="24"/>
      <c r="O401" s="24"/>
      <c r="P401" s="24"/>
    </row>
    <row r="402" spans="6:16" ht="15" x14ac:dyDescent="0.25">
      <c r="F402" s="116"/>
      <c r="H402" s="24"/>
      <c r="I402" s="24"/>
      <c r="J402" s="24"/>
      <c r="K402" s="24"/>
      <c r="L402" s="24"/>
      <c r="M402" s="24"/>
      <c r="N402" s="24"/>
      <c r="O402" s="24"/>
      <c r="P402" s="24"/>
    </row>
    <row r="403" spans="6:16" ht="15" x14ac:dyDescent="0.25">
      <c r="F403" s="115"/>
      <c r="H403" s="24"/>
      <c r="I403" s="24"/>
      <c r="J403" s="24"/>
      <c r="K403" s="24"/>
      <c r="L403" s="24"/>
      <c r="M403" s="24"/>
      <c r="N403" s="24"/>
      <c r="O403" s="24"/>
      <c r="P403" s="24"/>
    </row>
    <row r="404" spans="6:16" ht="15" x14ac:dyDescent="0.25">
      <c r="F404" s="115"/>
      <c r="H404" s="24"/>
      <c r="I404" s="24"/>
      <c r="J404" s="24"/>
      <c r="K404" s="24"/>
      <c r="L404" s="24"/>
      <c r="M404" s="24"/>
      <c r="N404" s="24"/>
      <c r="O404" s="24"/>
      <c r="P404" s="24"/>
    </row>
    <row r="405" spans="6:16" ht="15" x14ac:dyDescent="0.25">
      <c r="F405" s="115"/>
      <c r="H405" s="24"/>
      <c r="I405" s="24"/>
      <c r="J405" s="24"/>
      <c r="K405" s="24"/>
      <c r="L405" s="24"/>
      <c r="M405" s="24"/>
      <c r="N405" s="24"/>
      <c r="O405" s="24"/>
      <c r="P405" s="24"/>
    </row>
    <row r="406" spans="6:16" ht="15" x14ac:dyDescent="0.25">
      <c r="F406" s="115"/>
      <c r="H406" s="24"/>
      <c r="I406" s="24"/>
      <c r="J406" s="24"/>
      <c r="K406" s="24"/>
      <c r="L406" s="24"/>
      <c r="M406" s="24"/>
      <c r="N406" s="24"/>
      <c r="O406" s="24"/>
      <c r="P406" s="24"/>
    </row>
    <row r="407" spans="6:16" ht="15" x14ac:dyDescent="0.25">
      <c r="F407" s="115"/>
      <c r="H407" s="24"/>
      <c r="I407" s="24"/>
      <c r="J407" s="24"/>
      <c r="K407" s="24"/>
      <c r="L407" s="24"/>
      <c r="M407" s="24"/>
      <c r="N407" s="24"/>
      <c r="O407" s="24"/>
      <c r="P407" s="24"/>
    </row>
    <row r="408" spans="6:16" ht="15" x14ac:dyDescent="0.25">
      <c r="F408" s="115"/>
      <c r="H408" s="24"/>
      <c r="I408" s="24"/>
      <c r="J408" s="24"/>
      <c r="K408" s="24"/>
      <c r="L408" s="24"/>
      <c r="M408" s="24"/>
      <c r="N408" s="24"/>
      <c r="O408" s="24"/>
      <c r="P408" s="24"/>
    </row>
    <row r="409" spans="6:16" ht="15" x14ac:dyDescent="0.25">
      <c r="F409" s="115"/>
      <c r="H409" s="24"/>
      <c r="I409" s="24"/>
      <c r="J409" s="24"/>
      <c r="K409" s="24"/>
      <c r="L409" s="24"/>
      <c r="M409" s="24"/>
      <c r="N409" s="24"/>
      <c r="O409" s="24"/>
      <c r="P409" s="24"/>
    </row>
    <row r="410" spans="6:16" ht="15" x14ac:dyDescent="0.25">
      <c r="F410" s="115"/>
      <c r="H410" s="24"/>
      <c r="I410" s="24"/>
      <c r="J410" s="24"/>
      <c r="K410" s="24"/>
      <c r="L410" s="24"/>
      <c r="M410" s="24"/>
      <c r="N410" s="24"/>
      <c r="O410" s="24"/>
      <c r="P410" s="24"/>
    </row>
    <row r="411" spans="6:16" ht="15" x14ac:dyDescent="0.25">
      <c r="F411" s="115"/>
      <c r="H411" s="24"/>
      <c r="I411" s="24"/>
      <c r="J411" s="24"/>
      <c r="K411" s="24"/>
      <c r="L411" s="24"/>
      <c r="M411" s="24"/>
      <c r="N411" s="24"/>
      <c r="O411" s="24"/>
      <c r="P411" s="24"/>
    </row>
    <row r="412" spans="6:16" ht="15" x14ac:dyDescent="0.25">
      <c r="F412" s="115"/>
      <c r="H412" s="24"/>
      <c r="I412" s="24"/>
      <c r="J412" s="24"/>
      <c r="K412" s="24"/>
      <c r="L412" s="24"/>
      <c r="M412" s="24"/>
      <c r="N412" s="24"/>
      <c r="O412" s="24"/>
      <c r="P412" s="24"/>
    </row>
    <row r="413" spans="6:16" ht="15" x14ac:dyDescent="0.25">
      <c r="F413" s="115"/>
      <c r="H413" s="24"/>
      <c r="I413" s="24"/>
      <c r="J413" s="24"/>
      <c r="K413" s="24"/>
      <c r="L413" s="24"/>
      <c r="M413" s="24"/>
      <c r="N413" s="24"/>
      <c r="O413" s="24"/>
      <c r="P413" s="24"/>
    </row>
    <row r="414" spans="6:16" ht="15" x14ac:dyDescent="0.25">
      <c r="F414" s="115"/>
      <c r="H414" s="24"/>
      <c r="I414" s="24"/>
      <c r="J414" s="24"/>
      <c r="K414" s="24"/>
      <c r="L414" s="24"/>
      <c r="M414" s="24"/>
      <c r="N414" s="24"/>
      <c r="O414" s="24"/>
      <c r="P414" s="24"/>
    </row>
    <row r="415" spans="6:16" ht="15" x14ac:dyDescent="0.25">
      <c r="F415" s="115"/>
      <c r="H415" s="24"/>
      <c r="I415" s="24"/>
      <c r="J415" s="24"/>
      <c r="K415" s="24"/>
      <c r="L415" s="24"/>
      <c r="M415" s="24"/>
      <c r="N415" s="24"/>
      <c r="O415" s="24"/>
      <c r="P415" s="24"/>
    </row>
    <row r="416" spans="6:16" ht="15" x14ac:dyDescent="0.25">
      <c r="F416" s="115"/>
      <c r="H416" s="24"/>
      <c r="I416" s="24"/>
      <c r="J416" s="24"/>
      <c r="K416" s="24"/>
      <c r="L416" s="24"/>
      <c r="M416" s="24"/>
      <c r="N416" s="24"/>
      <c r="O416" s="24"/>
      <c r="P416" s="24"/>
    </row>
    <row r="417" spans="1:16" ht="15" x14ac:dyDescent="0.25">
      <c r="F417" s="115"/>
      <c r="H417" s="24"/>
      <c r="I417" s="24"/>
      <c r="J417" s="24"/>
      <c r="K417" s="24"/>
      <c r="L417" s="24"/>
      <c r="M417" s="24"/>
      <c r="N417" s="24"/>
      <c r="O417" s="24"/>
      <c r="P417" s="24"/>
    </row>
    <row r="418" spans="1:16" ht="15" x14ac:dyDescent="0.25">
      <c r="A418" s="117"/>
      <c r="B418" s="126"/>
      <c r="C418" s="118"/>
      <c r="D418" s="119"/>
      <c r="E418" s="118"/>
      <c r="F418" s="120"/>
      <c r="G418" s="118"/>
      <c r="H418" s="24"/>
      <c r="I418" s="24"/>
      <c r="J418" s="24"/>
      <c r="K418" s="24"/>
      <c r="L418" s="24"/>
      <c r="M418" s="24"/>
      <c r="N418" s="24"/>
      <c r="O418" s="24"/>
      <c r="P418" s="24"/>
    </row>
    <row r="419" spans="1:16" ht="15" x14ac:dyDescent="0.25">
      <c r="F419" s="115"/>
      <c r="H419" s="24"/>
      <c r="I419" s="24"/>
      <c r="J419" s="24"/>
      <c r="K419" s="24"/>
      <c r="L419" s="24"/>
      <c r="M419" s="24"/>
      <c r="N419" s="24"/>
      <c r="O419" s="24"/>
      <c r="P419" s="24"/>
    </row>
    <row r="420" spans="1:16" ht="15" x14ac:dyDescent="0.25">
      <c r="F420" s="115"/>
      <c r="H420" s="24"/>
      <c r="I420" s="24"/>
      <c r="J420" s="24"/>
      <c r="K420" s="24"/>
      <c r="L420" s="24"/>
      <c r="M420" s="24"/>
      <c r="N420" s="24"/>
      <c r="O420" s="24"/>
      <c r="P420" s="24"/>
    </row>
    <row r="421" spans="1:16" ht="15" x14ac:dyDescent="0.25">
      <c r="F421" s="115"/>
      <c r="H421" s="24"/>
      <c r="I421" s="24"/>
      <c r="J421" s="24"/>
      <c r="K421" s="24"/>
      <c r="L421" s="24"/>
      <c r="M421" s="24"/>
      <c r="N421" s="24"/>
      <c r="O421" s="24"/>
      <c r="P421" s="24"/>
    </row>
    <row r="422" spans="1:16" ht="15" x14ac:dyDescent="0.25">
      <c r="F422" s="115"/>
      <c r="H422" s="24"/>
      <c r="I422" s="24"/>
      <c r="J422" s="24"/>
      <c r="K422" s="24"/>
      <c r="L422" s="24"/>
      <c r="M422" s="24"/>
      <c r="N422" s="24"/>
      <c r="O422" s="24"/>
      <c r="P422" s="24"/>
    </row>
    <row r="423" spans="1:16" ht="15" x14ac:dyDescent="0.25">
      <c r="F423" s="115"/>
      <c r="H423" s="24"/>
      <c r="I423" s="24"/>
      <c r="J423" s="24"/>
      <c r="K423" s="24"/>
      <c r="L423" s="24"/>
      <c r="M423" s="24"/>
      <c r="N423" s="24"/>
      <c r="O423" s="24"/>
      <c r="P423" s="24"/>
    </row>
    <row r="424" spans="1:16" ht="15" x14ac:dyDescent="0.25">
      <c r="F424" s="115"/>
      <c r="H424" s="24"/>
      <c r="I424" s="24"/>
      <c r="J424" s="24"/>
      <c r="K424" s="24"/>
      <c r="L424" s="24"/>
      <c r="M424" s="24"/>
      <c r="N424" s="24"/>
      <c r="O424" s="24"/>
      <c r="P424" s="24"/>
    </row>
    <row r="425" spans="1:16" ht="15" x14ac:dyDescent="0.25">
      <c r="F425" s="115"/>
      <c r="H425" s="24"/>
      <c r="I425" s="24"/>
      <c r="J425" s="24"/>
      <c r="K425" s="24"/>
      <c r="L425" s="24"/>
      <c r="M425" s="24"/>
      <c r="N425" s="24"/>
      <c r="O425" s="24"/>
      <c r="P425" s="24"/>
    </row>
    <row r="426" spans="1:16" ht="15" x14ac:dyDescent="0.25">
      <c r="F426" s="115"/>
      <c r="H426" s="24"/>
      <c r="I426" s="24"/>
      <c r="J426" s="24"/>
      <c r="K426" s="24"/>
      <c r="L426" s="24"/>
      <c r="M426" s="24"/>
      <c r="N426" s="24"/>
      <c r="O426" s="24"/>
      <c r="P426" s="24"/>
    </row>
    <row r="427" spans="1:16" ht="15" x14ac:dyDescent="0.25">
      <c r="F427" s="115"/>
      <c r="H427" s="24"/>
      <c r="I427" s="24"/>
      <c r="J427" s="24"/>
      <c r="K427" s="24"/>
      <c r="L427" s="24"/>
      <c r="M427" s="24"/>
      <c r="N427" s="24"/>
      <c r="O427" s="24"/>
      <c r="P427" s="24"/>
    </row>
    <row r="428" spans="1:16" ht="15" x14ac:dyDescent="0.25">
      <c r="F428" s="115"/>
      <c r="H428" s="24"/>
      <c r="I428" s="24"/>
      <c r="J428" s="24"/>
      <c r="K428" s="24"/>
      <c r="L428" s="24"/>
      <c r="M428" s="24"/>
      <c r="N428" s="24"/>
      <c r="O428" s="24"/>
      <c r="P428" s="24"/>
    </row>
    <row r="429" spans="1:16" ht="15" x14ac:dyDescent="0.25">
      <c r="A429" s="117"/>
      <c r="B429" s="126"/>
      <c r="C429" s="118"/>
      <c r="D429" s="119"/>
      <c r="E429" s="118"/>
      <c r="F429" s="120"/>
      <c r="G429" s="118"/>
      <c r="H429" s="24"/>
      <c r="I429" s="24"/>
      <c r="J429" s="24"/>
      <c r="K429" s="24"/>
      <c r="L429" s="24"/>
      <c r="M429" s="24"/>
      <c r="N429" s="24"/>
      <c r="O429" s="24"/>
      <c r="P429" s="24"/>
    </row>
    <row r="430" spans="1:16" ht="15" x14ac:dyDescent="0.25">
      <c r="F430" s="115"/>
      <c r="H430" s="24"/>
      <c r="I430" s="24"/>
      <c r="J430" s="24"/>
      <c r="K430" s="24"/>
      <c r="L430" s="24"/>
      <c r="M430" s="24"/>
      <c r="N430" s="24"/>
      <c r="O430" s="24"/>
      <c r="P430" s="24"/>
    </row>
    <row r="431" spans="1:16" ht="15" x14ac:dyDescent="0.25">
      <c r="F431" s="115"/>
      <c r="H431" s="24"/>
      <c r="I431" s="24"/>
      <c r="J431" s="24"/>
      <c r="K431" s="24"/>
      <c r="L431" s="24"/>
      <c r="M431" s="24"/>
      <c r="N431" s="24"/>
      <c r="O431" s="24"/>
      <c r="P431" s="24"/>
    </row>
    <row r="432" spans="1:16" ht="15" x14ac:dyDescent="0.25">
      <c r="F432" s="115"/>
      <c r="H432" s="24"/>
      <c r="I432" s="24"/>
      <c r="J432" s="24"/>
      <c r="K432" s="24"/>
      <c r="L432" s="24"/>
      <c r="M432" s="24"/>
      <c r="N432" s="24"/>
      <c r="O432" s="24"/>
      <c r="P432" s="24"/>
    </row>
    <row r="433" spans="6:16" ht="15" x14ac:dyDescent="0.25">
      <c r="F433" s="115"/>
      <c r="H433" s="24"/>
      <c r="I433" s="24"/>
      <c r="J433" s="24"/>
      <c r="K433" s="24"/>
      <c r="L433" s="24"/>
      <c r="M433" s="24"/>
      <c r="N433" s="24"/>
      <c r="O433" s="24"/>
      <c r="P433" s="24"/>
    </row>
    <row r="434" spans="6:16" ht="15" x14ac:dyDescent="0.25">
      <c r="F434" s="115"/>
      <c r="H434" s="24"/>
      <c r="I434" s="24"/>
      <c r="J434" s="24"/>
      <c r="K434" s="24"/>
      <c r="L434" s="24"/>
      <c r="M434" s="24"/>
      <c r="N434" s="24"/>
      <c r="O434" s="24"/>
      <c r="P434" s="24"/>
    </row>
    <row r="435" spans="6:16" ht="15" x14ac:dyDescent="0.25">
      <c r="F435" s="115"/>
      <c r="H435" s="24"/>
      <c r="I435" s="24"/>
      <c r="J435" s="24"/>
      <c r="K435" s="24"/>
      <c r="L435" s="24"/>
      <c r="M435" s="24"/>
      <c r="N435" s="24"/>
      <c r="O435" s="24"/>
      <c r="P435" s="24"/>
    </row>
    <row r="436" spans="6:16" ht="15" x14ac:dyDescent="0.25">
      <c r="F436" s="115"/>
      <c r="H436" s="24"/>
      <c r="I436" s="24"/>
      <c r="J436" s="24"/>
      <c r="K436" s="24"/>
      <c r="L436" s="24"/>
      <c r="M436" s="24"/>
      <c r="N436" s="24"/>
      <c r="O436" s="24"/>
      <c r="P436" s="24"/>
    </row>
    <row r="437" spans="6:16" ht="15" x14ac:dyDescent="0.25">
      <c r="F437" s="115"/>
      <c r="H437" s="24"/>
      <c r="I437" s="24"/>
      <c r="J437" s="24"/>
      <c r="K437" s="24"/>
      <c r="L437" s="24"/>
      <c r="M437" s="24"/>
      <c r="N437" s="24"/>
      <c r="O437" s="24"/>
      <c r="P437" s="24"/>
    </row>
    <row r="438" spans="6:16" ht="15" x14ac:dyDescent="0.25">
      <c r="F438" s="115"/>
      <c r="H438" s="24"/>
      <c r="I438" s="24"/>
      <c r="J438" s="24"/>
      <c r="K438" s="24"/>
      <c r="L438" s="24"/>
      <c r="M438" s="24"/>
      <c r="N438" s="24"/>
      <c r="O438" s="24"/>
      <c r="P438" s="24"/>
    </row>
    <row r="439" spans="6:16" ht="15" x14ac:dyDescent="0.25">
      <c r="F439" s="115"/>
      <c r="H439" s="24"/>
      <c r="I439" s="24"/>
      <c r="J439" s="24"/>
      <c r="K439" s="24"/>
      <c r="L439" s="24"/>
      <c r="M439" s="24"/>
      <c r="N439" s="24"/>
      <c r="O439" s="24"/>
      <c r="P439" s="24"/>
    </row>
    <row r="440" spans="6:16" ht="15" x14ac:dyDescent="0.25">
      <c r="F440" s="115"/>
      <c r="H440" s="24"/>
      <c r="I440" s="24"/>
      <c r="J440" s="24"/>
      <c r="K440" s="24"/>
      <c r="L440" s="24"/>
      <c r="M440" s="24"/>
      <c r="N440" s="24"/>
      <c r="O440" s="24"/>
      <c r="P440" s="24"/>
    </row>
    <row r="441" spans="6:16" ht="15" x14ac:dyDescent="0.25">
      <c r="F441" s="115"/>
      <c r="H441" s="24"/>
      <c r="I441" s="24"/>
      <c r="J441" s="24"/>
      <c r="K441" s="24"/>
      <c r="L441" s="24"/>
      <c r="M441" s="24"/>
      <c r="N441" s="24"/>
      <c r="O441" s="24"/>
      <c r="P441" s="24"/>
    </row>
    <row r="442" spans="6:16" ht="15" x14ac:dyDescent="0.25">
      <c r="F442" s="115"/>
      <c r="H442" s="24"/>
      <c r="I442" s="24"/>
      <c r="J442" s="24"/>
      <c r="K442" s="24"/>
      <c r="L442" s="24"/>
      <c r="M442" s="24"/>
      <c r="N442" s="24"/>
      <c r="O442" s="24"/>
      <c r="P442" s="24"/>
    </row>
    <row r="443" spans="6:16" ht="15" x14ac:dyDescent="0.25">
      <c r="F443" s="115"/>
      <c r="H443" s="24"/>
      <c r="I443" s="24"/>
      <c r="J443" s="24"/>
      <c r="K443" s="24"/>
      <c r="L443" s="24"/>
      <c r="M443" s="24"/>
      <c r="N443" s="24"/>
      <c r="O443" s="24"/>
      <c r="P443" s="24"/>
    </row>
    <row r="444" spans="6:16" ht="15" x14ac:dyDescent="0.25">
      <c r="F444" s="115"/>
      <c r="H444" s="24"/>
      <c r="I444" s="24"/>
      <c r="J444" s="24"/>
      <c r="K444" s="24"/>
      <c r="L444" s="24"/>
      <c r="M444" s="24"/>
      <c r="N444" s="24"/>
      <c r="O444" s="24"/>
      <c r="P444" s="24"/>
    </row>
    <row r="445" spans="6:16" ht="15" x14ac:dyDescent="0.25">
      <c r="F445" s="115"/>
      <c r="H445" s="24"/>
      <c r="I445" s="24"/>
      <c r="J445" s="24"/>
      <c r="K445" s="24"/>
      <c r="L445" s="24"/>
      <c r="M445" s="24"/>
      <c r="N445" s="24"/>
      <c r="O445" s="24"/>
      <c r="P445" s="24"/>
    </row>
    <row r="446" spans="6:16" ht="15" x14ac:dyDescent="0.25">
      <c r="F446" s="115"/>
      <c r="H446" s="24"/>
      <c r="I446" s="24"/>
      <c r="J446" s="24"/>
      <c r="K446" s="24"/>
      <c r="L446" s="24"/>
      <c r="M446" s="24"/>
      <c r="N446" s="24"/>
      <c r="O446" s="24"/>
      <c r="P446" s="24"/>
    </row>
    <row r="447" spans="6:16" ht="15" x14ac:dyDescent="0.25">
      <c r="F447" s="115"/>
      <c r="H447" s="24"/>
      <c r="I447" s="24"/>
      <c r="J447" s="24"/>
      <c r="K447" s="24"/>
      <c r="L447" s="24"/>
      <c r="M447" s="24"/>
      <c r="N447" s="24"/>
      <c r="O447" s="24"/>
      <c r="P447" s="24"/>
    </row>
    <row r="448" spans="6:16" ht="15" x14ac:dyDescent="0.25">
      <c r="F448" s="115"/>
      <c r="H448" s="24"/>
      <c r="I448" s="24"/>
      <c r="J448" s="24"/>
      <c r="K448" s="24"/>
      <c r="L448" s="24"/>
      <c r="M448" s="24"/>
      <c r="N448" s="24"/>
      <c r="O448" s="24"/>
      <c r="P448" s="24"/>
    </row>
    <row r="449" spans="6:16" ht="15" x14ac:dyDescent="0.25">
      <c r="F449" s="115"/>
      <c r="H449" s="24"/>
      <c r="I449" s="24"/>
      <c r="J449" s="24"/>
      <c r="K449" s="24"/>
      <c r="L449" s="24"/>
      <c r="M449" s="24"/>
      <c r="N449" s="24"/>
      <c r="O449" s="24"/>
      <c r="P449" s="24"/>
    </row>
    <row r="450" spans="6:16" ht="15" x14ac:dyDescent="0.25">
      <c r="F450" s="115"/>
      <c r="H450" s="24"/>
      <c r="I450" s="24"/>
      <c r="J450" s="24"/>
      <c r="K450" s="24"/>
      <c r="L450" s="24"/>
      <c r="M450" s="24"/>
      <c r="N450" s="24"/>
      <c r="O450" s="24"/>
      <c r="P450" s="24"/>
    </row>
    <row r="451" spans="6:16" ht="15" x14ac:dyDescent="0.25">
      <c r="F451" s="115"/>
      <c r="H451" s="24"/>
      <c r="I451" s="24"/>
      <c r="J451" s="24"/>
      <c r="K451" s="24"/>
      <c r="L451" s="24"/>
      <c r="M451" s="24"/>
      <c r="N451" s="24"/>
      <c r="O451" s="24"/>
      <c r="P451" s="24"/>
    </row>
    <row r="452" spans="6:16" ht="15" x14ac:dyDescent="0.25">
      <c r="F452" s="115"/>
      <c r="H452" s="24"/>
      <c r="I452" s="24"/>
      <c r="J452" s="24"/>
      <c r="K452" s="24"/>
      <c r="L452" s="24"/>
      <c r="M452" s="24"/>
      <c r="N452" s="24"/>
      <c r="O452" s="24"/>
      <c r="P452" s="24"/>
    </row>
    <row r="453" spans="6:16" ht="15" x14ac:dyDescent="0.25">
      <c r="F453" s="115"/>
      <c r="H453" s="24"/>
      <c r="I453" s="24"/>
      <c r="J453" s="24"/>
      <c r="K453" s="24"/>
      <c r="L453" s="24"/>
      <c r="M453" s="24"/>
      <c r="N453" s="24"/>
      <c r="O453" s="24"/>
      <c r="P453" s="24"/>
    </row>
    <row r="454" spans="6:16" ht="15" x14ac:dyDescent="0.25">
      <c r="F454" s="115"/>
      <c r="H454" s="24"/>
      <c r="I454" s="24"/>
      <c r="J454" s="24"/>
      <c r="K454" s="24"/>
      <c r="L454" s="24"/>
      <c r="M454" s="24"/>
      <c r="N454" s="24"/>
      <c r="O454" s="24"/>
      <c r="P454" s="24"/>
    </row>
    <row r="455" spans="6:16" ht="15" x14ac:dyDescent="0.25">
      <c r="F455" s="115"/>
      <c r="H455" s="24"/>
      <c r="I455" s="24"/>
      <c r="J455" s="24"/>
      <c r="K455" s="24"/>
      <c r="L455" s="24"/>
      <c r="M455" s="24"/>
      <c r="N455" s="24"/>
      <c r="O455" s="24"/>
      <c r="P455" s="24"/>
    </row>
    <row r="456" spans="6:16" ht="15" x14ac:dyDescent="0.25">
      <c r="F456" s="115"/>
      <c r="H456" s="24"/>
      <c r="I456" s="24"/>
      <c r="J456" s="24"/>
      <c r="K456" s="24"/>
      <c r="L456" s="24"/>
      <c r="M456" s="24"/>
      <c r="N456" s="24"/>
      <c r="O456" s="24"/>
      <c r="P456" s="24"/>
    </row>
    <row r="457" spans="6:16" ht="15" x14ac:dyDescent="0.25">
      <c r="F457" s="115"/>
      <c r="H457" s="24"/>
      <c r="I457" s="24"/>
      <c r="J457" s="24"/>
      <c r="K457" s="24"/>
      <c r="L457" s="24"/>
      <c r="M457" s="24"/>
      <c r="N457" s="24"/>
      <c r="O457" s="24"/>
      <c r="P457" s="24"/>
    </row>
    <row r="458" spans="6:16" ht="15" x14ac:dyDescent="0.25">
      <c r="F458" s="115"/>
      <c r="H458" s="24"/>
      <c r="I458" s="24"/>
      <c r="J458" s="24"/>
      <c r="K458" s="24"/>
      <c r="L458" s="24"/>
      <c r="M458" s="24"/>
      <c r="N458" s="24"/>
      <c r="O458" s="24"/>
      <c r="P458" s="24"/>
    </row>
    <row r="459" spans="6:16" ht="15" x14ac:dyDescent="0.25">
      <c r="F459" s="115"/>
      <c r="H459" s="24"/>
      <c r="I459" s="24"/>
      <c r="J459" s="24"/>
      <c r="K459" s="24"/>
      <c r="L459" s="24"/>
      <c r="M459" s="24"/>
      <c r="N459" s="24"/>
      <c r="O459" s="24"/>
      <c r="P459" s="24"/>
    </row>
    <row r="460" spans="6:16" ht="15" x14ac:dyDescent="0.25">
      <c r="F460" s="115"/>
      <c r="H460" s="24"/>
      <c r="I460" s="24"/>
      <c r="J460" s="24"/>
      <c r="K460" s="24"/>
      <c r="L460" s="24"/>
      <c r="M460" s="24"/>
      <c r="N460" s="24"/>
      <c r="O460" s="24"/>
      <c r="P460" s="24"/>
    </row>
    <row r="461" spans="6:16" ht="15" x14ac:dyDescent="0.25">
      <c r="F461" s="115"/>
      <c r="H461" s="24"/>
      <c r="I461" s="24"/>
      <c r="J461" s="24"/>
      <c r="K461" s="24"/>
      <c r="L461" s="24"/>
      <c r="M461" s="24"/>
      <c r="N461" s="24"/>
      <c r="O461" s="24"/>
      <c r="P461" s="24"/>
    </row>
    <row r="462" spans="6:16" ht="15" x14ac:dyDescent="0.25">
      <c r="F462" s="115"/>
      <c r="H462" s="24"/>
      <c r="I462" s="24"/>
      <c r="J462" s="24"/>
      <c r="K462" s="24"/>
      <c r="L462" s="24"/>
      <c r="M462" s="24"/>
      <c r="N462" s="24"/>
      <c r="O462" s="24"/>
      <c r="P462" s="24"/>
    </row>
    <row r="463" spans="6:16" ht="15" x14ac:dyDescent="0.25">
      <c r="F463" s="115"/>
      <c r="H463" s="24"/>
      <c r="I463" s="24"/>
      <c r="J463" s="24"/>
      <c r="K463" s="24"/>
      <c r="L463" s="24"/>
      <c r="M463" s="24"/>
      <c r="N463" s="24"/>
      <c r="O463" s="24"/>
      <c r="P463" s="24"/>
    </row>
    <row r="464" spans="6:16" ht="15" x14ac:dyDescent="0.25">
      <c r="F464" s="115"/>
      <c r="H464" s="24"/>
      <c r="I464" s="24"/>
      <c r="J464" s="24"/>
      <c r="K464" s="24"/>
      <c r="L464" s="24"/>
      <c r="M464" s="24"/>
      <c r="N464" s="24"/>
      <c r="O464" s="24"/>
      <c r="P464" s="24"/>
    </row>
    <row r="465" spans="6:16" ht="15" x14ac:dyDescent="0.25">
      <c r="F465" s="115"/>
      <c r="H465" s="24"/>
      <c r="I465" s="24"/>
      <c r="J465" s="24"/>
      <c r="K465" s="24"/>
      <c r="L465" s="24"/>
      <c r="M465" s="24"/>
      <c r="N465" s="24"/>
      <c r="O465" s="24"/>
      <c r="P465" s="24"/>
    </row>
    <row r="466" spans="6:16" ht="15" x14ac:dyDescent="0.25">
      <c r="F466" s="115"/>
      <c r="H466" s="24"/>
      <c r="I466" s="24"/>
      <c r="J466" s="24"/>
      <c r="K466" s="24"/>
      <c r="L466" s="24"/>
      <c r="M466" s="24"/>
      <c r="N466" s="24"/>
      <c r="O466" s="24"/>
      <c r="P466" s="24"/>
    </row>
    <row r="467" spans="6:16" ht="15" x14ac:dyDescent="0.25">
      <c r="F467" s="115"/>
      <c r="H467" s="24"/>
      <c r="I467" s="24"/>
      <c r="J467" s="24"/>
      <c r="K467" s="24"/>
      <c r="L467" s="24"/>
      <c r="M467" s="24"/>
      <c r="N467" s="24"/>
      <c r="O467" s="24"/>
      <c r="P467" s="24"/>
    </row>
    <row r="468" spans="6:16" ht="15" x14ac:dyDescent="0.25">
      <c r="F468" s="115"/>
      <c r="H468" s="24"/>
      <c r="I468" s="24"/>
      <c r="J468" s="24"/>
      <c r="K468" s="24"/>
      <c r="L468" s="24"/>
      <c r="M468" s="24"/>
      <c r="N468" s="24"/>
      <c r="O468" s="24"/>
      <c r="P468" s="24"/>
    </row>
    <row r="469" spans="6:16" ht="15" x14ac:dyDescent="0.25">
      <c r="F469" s="115"/>
      <c r="H469" s="24"/>
      <c r="I469" s="24"/>
      <c r="J469" s="24"/>
      <c r="K469" s="24"/>
      <c r="L469" s="24"/>
      <c r="M469" s="24"/>
      <c r="N469" s="24"/>
      <c r="O469" s="24"/>
      <c r="P469" s="24"/>
    </row>
    <row r="470" spans="6:16" ht="15" x14ac:dyDescent="0.25">
      <c r="F470" s="115"/>
      <c r="H470" s="24"/>
      <c r="I470" s="24"/>
      <c r="J470" s="24"/>
      <c r="K470" s="24"/>
      <c r="L470" s="24"/>
      <c r="M470" s="24"/>
      <c r="N470" s="24"/>
      <c r="O470" s="24"/>
      <c r="P470" s="24"/>
    </row>
    <row r="471" spans="6:16" ht="15" x14ac:dyDescent="0.25">
      <c r="F471" s="115"/>
      <c r="H471" s="24"/>
      <c r="I471" s="24"/>
      <c r="J471" s="24"/>
      <c r="K471" s="24"/>
      <c r="L471" s="24"/>
      <c r="M471" s="24"/>
      <c r="N471" s="24"/>
      <c r="O471" s="24"/>
      <c r="P471" s="24"/>
    </row>
    <row r="472" spans="6:16" ht="15" x14ac:dyDescent="0.25">
      <c r="F472" s="115"/>
      <c r="H472" s="24"/>
      <c r="I472" s="24"/>
      <c r="J472" s="24"/>
      <c r="K472" s="24"/>
      <c r="L472" s="24"/>
      <c r="M472" s="24"/>
      <c r="N472" s="24"/>
      <c r="O472" s="24"/>
      <c r="P472" s="24"/>
    </row>
    <row r="473" spans="6:16" ht="15" x14ac:dyDescent="0.25">
      <c r="F473" s="115"/>
      <c r="H473" s="24"/>
      <c r="I473" s="24"/>
      <c r="J473" s="24"/>
      <c r="K473" s="24"/>
      <c r="L473" s="24"/>
      <c r="M473" s="24"/>
      <c r="N473" s="24"/>
      <c r="O473" s="24"/>
      <c r="P473" s="24"/>
    </row>
    <row r="474" spans="6:16" ht="15" x14ac:dyDescent="0.25">
      <c r="F474" s="115"/>
      <c r="H474" s="24"/>
      <c r="I474" s="24"/>
      <c r="J474" s="24"/>
      <c r="K474" s="24"/>
      <c r="L474" s="24"/>
      <c r="M474" s="24"/>
      <c r="N474" s="24"/>
      <c r="O474" s="24"/>
      <c r="P474" s="24"/>
    </row>
    <row r="475" spans="6:16" ht="15" x14ac:dyDescent="0.25">
      <c r="F475" s="115"/>
      <c r="H475" s="24"/>
      <c r="I475" s="24"/>
      <c r="J475" s="24"/>
      <c r="K475" s="24"/>
      <c r="L475" s="24"/>
      <c r="M475" s="24"/>
      <c r="N475" s="24"/>
      <c r="O475" s="24"/>
      <c r="P475" s="24"/>
    </row>
    <row r="476" spans="6:16" ht="15" x14ac:dyDescent="0.25">
      <c r="F476" s="115"/>
      <c r="H476" s="24"/>
      <c r="I476" s="24"/>
      <c r="J476" s="24"/>
      <c r="K476" s="24"/>
      <c r="L476" s="24"/>
      <c r="M476" s="24"/>
      <c r="N476" s="24"/>
      <c r="O476" s="24"/>
      <c r="P476" s="24"/>
    </row>
    <row r="477" spans="6:16" ht="15" x14ac:dyDescent="0.25">
      <c r="F477" s="115"/>
      <c r="H477" s="24"/>
      <c r="I477" s="24"/>
      <c r="J477" s="24"/>
      <c r="K477" s="24"/>
      <c r="L477" s="24"/>
      <c r="M477" s="24"/>
      <c r="N477" s="24"/>
      <c r="O477" s="24"/>
      <c r="P477" s="24"/>
    </row>
    <row r="478" spans="6:16" ht="15" x14ac:dyDescent="0.25">
      <c r="F478" s="115"/>
      <c r="H478" s="24"/>
      <c r="I478" s="24"/>
      <c r="J478" s="24"/>
      <c r="K478" s="24"/>
      <c r="L478" s="24"/>
      <c r="M478" s="24"/>
      <c r="N478" s="24"/>
      <c r="O478" s="24"/>
      <c r="P478" s="24"/>
    </row>
    <row r="479" spans="6:16" ht="15" x14ac:dyDescent="0.25">
      <c r="F479" s="115"/>
      <c r="H479" s="24"/>
      <c r="I479" s="24"/>
      <c r="J479" s="24"/>
      <c r="K479" s="24"/>
      <c r="L479" s="24"/>
      <c r="M479" s="24"/>
      <c r="N479" s="24"/>
      <c r="O479" s="24"/>
      <c r="P479" s="24"/>
    </row>
    <row r="480" spans="6:16" ht="15" x14ac:dyDescent="0.25">
      <c r="F480" s="115"/>
      <c r="H480" s="24"/>
      <c r="I480" s="24"/>
      <c r="J480" s="24"/>
      <c r="K480" s="24"/>
      <c r="L480" s="24"/>
      <c r="M480" s="24"/>
      <c r="N480" s="24"/>
      <c r="O480" s="24"/>
      <c r="P480" s="24"/>
    </row>
    <row r="481" spans="6:16" ht="15" x14ac:dyDescent="0.25">
      <c r="F481" s="115"/>
      <c r="H481" s="24"/>
      <c r="I481" s="24"/>
      <c r="J481" s="24"/>
      <c r="K481" s="24"/>
      <c r="L481" s="24"/>
      <c r="M481" s="24"/>
      <c r="N481" s="24"/>
      <c r="O481" s="24"/>
      <c r="P481" s="24"/>
    </row>
    <row r="482" spans="6:16" ht="15" x14ac:dyDescent="0.25">
      <c r="F482" s="115"/>
      <c r="H482" s="24"/>
      <c r="I482" s="24"/>
      <c r="J482" s="24"/>
      <c r="K482" s="24"/>
      <c r="L482" s="24"/>
      <c r="M482" s="24"/>
      <c r="N482" s="24"/>
      <c r="O482" s="24"/>
      <c r="P482" s="24"/>
    </row>
    <row r="483" spans="6:16" ht="15" x14ac:dyDescent="0.25">
      <c r="F483" s="115"/>
      <c r="H483" s="24"/>
      <c r="I483" s="24"/>
      <c r="J483" s="24"/>
      <c r="K483" s="24"/>
      <c r="L483" s="24"/>
      <c r="M483" s="24"/>
      <c r="N483" s="24"/>
      <c r="O483" s="24"/>
      <c r="P483" s="24"/>
    </row>
    <row r="484" spans="6:16" ht="15" x14ac:dyDescent="0.25">
      <c r="F484" s="115"/>
      <c r="H484" s="24"/>
      <c r="I484" s="24"/>
      <c r="J484" s="24"/>
      <c r="K484" s="24"/>
      <c r="L484" s="24"/>
      <c r="M484" s="24"/>
      <c r="N484" s="24"/>
      <c r="O484" s="24"/>
      <c r="P484" s="24"/>
    </row>
    <row r="485" spans="6:16" ht="15" x14ac:dyDescent="0.25">
      <c r="F485" s="115"/>
      <c r="H485" s="24"/>
      <c r="I485" s="24"/>
      <c r="J485" s="24"/>
      <c r="K485" s="24"/>
      <c r="L485" s="24"/>
      <c r="M485" s="24"/>
      <c r="N485" s="24"/>
      <c r="O485" s="24"/>
      <c r="P485" s="24"/>
    </row>
    <row r="486" spans="6:16" ht="15" x14ac:dyDescent="0.25">
      <c r="F486" s="115"/>
      <c r="H486" s="24"/>
      <c r="I486" s="24"/>
      <c r="J486" s="24"/>
      <c r="K486" s="24"/>
      <c r="L486" s="24"/>
      <c r="M486" s="24"/>
      <c r="N486" s="24"/>
      <c r="O486" s="24"/>
      <c r="P486" s="24"/>
    </row>
    <row r="487" spans="6:16" ht="15" x14ac:dyDescent="0.25">
      <c r="F487" s="115"/>
      <c r="H487" s="24"/>
      <c r="I487" s="24"/>
      <c r="J487" s="24"/>
      <c r="K487" s="24"/>
      <c r="L487" s="24"/>
      <c r="M487" s="24"/>
      <c r="N487" s="24"/>
      <c r="O487" s="24"/>
      <c r="P487" s="24"/>
    </row>
    <row r="488" spans="6:16" ht="15" x14ac:dyDescent="0.25">
      <c r="F488" s="115"/>
      <c r="H488" s="24"/>
      <c r="I488" s="24"/>
      <c r="J488" s="24"/>
      <c r="K488" s="24"/>
      <c r="L488" s="24"/>
      <c r="M488" s="24"/>
      <c r="N488" s="24"/>
      <c r="O488" s="24"/>
      <c r="P488" s="24"/>
    </row>
    <row r="489" spans="6:16" ht="15" x14ac:dyDescent="0.25">
      <c r="F489" s="115"/>
      <c r="H489" s="24"/>
      <c r="I489" s="24"/>
      <c r="J489" s="24"/>
      <c r="K489" s="24"/>
      <c r="L489" s="24"/>
      <c r="M489" s="24"/>
      <c r="N489" s="24"/>
      <c r="O489" s="24"/>
      <c r="P489" s="24"/>
    </row>
    <row r="490" spans="6:16" ht="15" x14ac:dyDescent="0.25">
      <c r="F490" s="115"/>
      <c r="H490" s="24"/>
      <c r="I490" s="24"/>
      <c r="J490" s="24"/>
      <c r="K490" s="24"/>
      <c r="L490" s="24"/>
      <c r="M490" s="24"/>
      <c r="N490" s="24"/>
      <c r="O490" s="24"/>
      <c r="P490" s="24"/>
    </row>
    <row r="491" spans="6:16" ht="15" x14ac:dyDescent="0.25">
      <c r="F491" s="115"/>
      <c r="H491" s="24"/>
      <c r="I491" s="24"/>
      <c r="J491" s="24"/>
      <c r="K491" s="24"/>
      <c r="L491" s="24"/>
      <c r="M491" s="24"/>
      <c r="N491" s="24"/>
      <c r="O491" s="24"/>
      <c r="P491" s="24"/>
    </row>
    <row r="492" spans="6:16" ht="15" x14ac:dyDescent="0.25">
      <c r="F492" s="115"/>
      <c r="H492" s="24"/>
      <c r="I492" s="24"/>
      <c r="J492" s="24"/>
      <c r="K492" s="24"/>
      <c r="L492" s="24"/>
      <c r="M492" s="24"/>
      <c r="N492" s="24"/>
      <c r="O492" s="24"/>
      <c r="P492" s="24"/>
    </row>
    <row r="493" spans="6:16" ht="15" x14ac:dyDescent="0.25">
      <c r="F493" s="115"/>
      <c r="H493" s="24"/>
      <c r="I493" s="24"/>
      <c r="J493" s="24"/>
      <c r="K493" s="24"/>
      <c r="L493" s="24"/>
      <c r="M493" s="24"/>
      <c r="N493" s="24"/>
      <c r="O493" s="24"/>
      <c r="P493" s="24"/>
    </row>
    <row r="494" spans="6:16" ht="15" x14ac:dyDescent="0.25">
      <c r="F494" s="115"/>
      <c r="H494" s="24"/>
      <c r="I494" s="24"/>
      <c r="J494" s="24"/>
      <c r="K494" s="24"/>
      <c r="L494" s="24"/>
      <c r="M494" s="24"/>
      <c r="N494" s="24"/>
      <c r="O494" s="24"/>
      <c r="P494" s="24"/>
    </row>
    <row r="495" spans="6:16" ht="15" x14ac:dyDescent="0.25">
      <c r="F495" s="115"/>
      <c r="H495" s="24"/>
      <c r="I495" s="24"/>
      <c r="J495" s="24"/>
      <c r="K495" s="24"/>
      <c r="L495" s="24"/>
      <c r="M495" s="24"/>
      <c r="N495" s="24"/>
      <c r="O495" s="24"/>
      <c r="P495" s="24"/>
    </row>
    <row r="496" spans="6:16" ht="15" x14ac:dyDescent="0.25">
      <c r="F496" s="115"/>
      <c r="H496" s="24"/>
      <c r="I496" s="24"/>
      <c r="J496" s="24"/>
      <c r="K496" s="24"/>
      <c r="L496" s="24"/>
      <c r="M496" s="24"/>
      <c r="N496" s="24"/>
      <c r="O496" s="24"/>
      <c r="P496" s="24"/>
    </row>
    <row r="497" spans="6:16" ht="15" x14ac:dyDescent="0.25">
      <c r="F497" s="115"/>
      <c r="H497" s="24"/>
      <c r="I497" s="24"/>
      <c r="J497" s="24"/>
      <c r="K497" s="24"/>
      <c r="L497" s="24"/>
      <c r="M497" s="24"/>
      <c r="N497" s="24"/>
      <c r="O497" s="24"/>
      <c r="P497" s="24"/>
    </row>
    <row r="498" spans="6:16" ht="15" x14ac:dyDescent="0.25">
      <c r="F498" s="115"/>
      <c r="H498" s="24"/>
      <c r="I498" s="24"/>
      <c r="J498" s="24"/>
      <c r="K498" s="24"/>
      <c r="L498" s="24"/>
      <c r="M498" s="24"/>
      <c r="N498" s="24"/>
      <c r="O498" s="24"/>
      <c r="P498" s="24"/>
    </row>
    <row r="499" spans="6:16" ht="15" x14ac:dyDescent="0.25">
      <c r="F499" s="115"/>
      <c r="H499" s="24"/>
      <c r="I499" s="24"/>
      <c r="J499" s="24"/>
      <c r="K499" s="24"/>
      <c r="L499" s="24"/>
      <c r="M499" s="24"/>
      <c r="N499" s="24"/>
      <c r="O499" s="24"/>
      <c r="P499" s="24"/>
    </row>
    <row r="500" spans="6:16" ht="15" x14ac:dyDescent="0.25">
      <c r="F500" s="115"/>
      <c r="H500" s="24"/>
      <c r="I500" s="24"/>
      <c r="J500" s="24"/>
      <c r="K500" s="24"/>
      <c r="L500" s="24"/>
      <c r="M500" s="24"/>
      <c r="N500" s="24"/>
      <c r="O500" s="24"/>
      <c r="P500" s="24"/>
    </row>
    <row r="501" spans="6:16" ht="15" x14ac:dyDescent="0.25">
      <c r="F501" s="116"/>
      <c r="H501" s="24"/>
      <c r="I501" s="24"/>
      <c r="J501" s="24"/>
      <c r="K501" s="24"/>
      <c r="L501" s="24"/>
      <c r="M501" s="24"/>
      <c r="N501" s="24"/>
      <c r="O501" s="24"/>
      <c r="P501" s="24"/>
    </row>
    <row r="502" spans="6:16" ht="15" x14ac:dyDescent="0.25">
      <c r="F502" s="115"/>
      <c r="H502" s="24"/>
      <c r="I502" s="24"/>
      <c r="J502" s="24"/>
      <c r="K502" s="24"/>
      <c r="L502" s="24"/>
      <c r="M502" s="24"/>
      <c r="N502" s="24"/>
      <c r="O502" s="24"/>
      <c r="P502" s="24"/>
    </row>
    <row r="503" spans="6:16" ht="15" x14ac:dyDescent="0.25">
      <c r="F503" s="115"/>
      <c r="H503" s="24"/>
      <c r="I503" s="24"/>
      <c r="J503" s="24"/>
      <c r="K503" s="24"/>
      <c r="L503" s="24"/>
      <c r="M503" s="24"/>
      <c r="N503" s="24"/>
      <c r="O503" s="24"/>
      <c r="P503" s="24"/>
    </row>
    <row r="504" spans="6:16" ht="15" x14ac:dyDescent="0.25">
      <c r="F504" s="115"/>
      <c r="H504" s="24"/>
      <c r="I504" s="24"/>
      <c r="J504" s="24"/>
      <c r="K504" s="24"/>
      <c r="L504" s="24"/>
      <c r="M504" s="24"/>
      <c r="N504" s="24"/>
      <c r="O504" s="24"/>
      <c r="P504" s="24"/>
    </row>
    <row r="505" spans="6:16" ht="15" x14ac:dyDescent="0.25">
      <c r="F505" s="115"/>
      <c r="H505" s="24"/>
      <c r="I505" s="24"/>
      <c r="J505" s="24"/>
      <c r="K505" s="24"/>
      <c r="L505" s="24"/>
      <c r="M505" s="24"/>
      <c r="N505" s="24"/>
      <c r="O505" s="24"/>
      <c r="P505" s="24"/>
    </row>
    <row r="506" spans="6:16" ht="15" x14ac:dyDescent="0.25">
      <c r="F506" s="115"/>
      <c r="H506" s="24"/>
      <c r="I506" s="24"/>
      <c r="J506" s="24"/>
      <c r="K506" s="24"/>
      <c r="L506" s="24"/>
      <c r="M506" s="24"/>
      <c r="N506" s="24"/>
      <c r="O506" s="24"/>
      <c r="P506" s="24"/>
    </row>
    <row r="507" spans="6:16" ht="15" x14ac:dyDescent="0.25">
      <c r="F507" s="115"/>
      <c r="H507" s="24"/>
      <c r="I507" s="24"/>
      <c r="J507" s="24"/>
      <c r="K507" s="24"/>
      <c r="L507" s="24"/>
      <c r="M507" s="24"/>
      <c r="N507" s="24"/>
      <c r="O507" s="24"/>
      <c r="P507" s="24"/>
    </row>
    <row r="508" spans="6:16" ht="15" x14ac:dyDescent="0.25">
      <c r="F508" s="115"/>
      <c r="H508" s="24"/>
      <c r="I508" s="24"/>
      <c r="J508" s="24"/>
      <c r="K508" s="24"/>
      <c r="L508" s="24"/>
      <c r="M508" s="24"/>
      <c r="N508" s="24"/>
      <c r="O508" s="24"/>
      <c r="P508" s="24"/>
    </row>
    <row r="509" spans="6:16" ht="15" x14ac:dyDescent="0.25">
      <c r="F509" s="115"/>
      <c r="H509" s="24"/>
      <c r="I509" s="24"/>
      <c r="J509" s="24"/>
      <c r="K509" s="24"/>
      <c r="L509" s="24"/>
      <c r="M509" s="24"/>
      <c r="N509" s="24"/>
      <c r="O509" s="24"/>
      <c r="P509" s="24"/>
    </row>
    <row r="510" spans="6:16" ht="15" x14ac:dyDescent="0.25">
      <c r="F510" s="115"/>
      <c r="H510" s="24"/>
      <c r="I510" s="24"/>
      <c r="J510" s="24"/>
      <c r="K510" s="24"/>
      <c r="L510" s="24"/>
      <c r="M510" s="24"/>
      <c r="N510" s="24"/>
      <c r="O510" s="24"/>
      <c r="P510" s="24"/>
    </row>
    <row r="511" spans="6:16" ht="15" x14ac:dyDescent="0.25">
      <c r="F511" s="115"/>
      <c r="H511" s="24"/>
      <c r="I511" s="24"/>
      <c r="J511" s="24"/>
      <c r="K511" s="24"/>
      <c r="L511" s="24"/>
      <c r="M511" s="24"/>
      <c r="N511" s="24"/>
      <c r="O511" s="24"/>
      <c r="P511" s="24"/>
    </row>
    <row r="512" spans="6:16" ht="15" x14ac:dyDescent="0.25">
      <c r="F512" s="115"/>
      <c r="H512" s="24"/>
      <c r="I512" s="24"/>
      <c r="J512" s="24"/>
      <c r="K512" s="24"/>
      <c r="L512" s="24"/>
      <c r="M512" s="24"/>
      <c r="N512" s="24"/>
      <c r="O512" s="24"/>
      <c r="P512" s="24"/>
    </row>
    <row r="513" spans="6:16" ht="15" x14ac:dyDescent="0.25">
      <c r="F513" s="115"/>
      <c r="H513" s="24"/>
      <c r="I513" s="24"/>
      <c r="J513" s="24"/>
      <c r="K513" s="24"/>
      <c r="L513" s="24"/>
      <c r="M513" s="24"/>
      <c r="N513" s="24"/>
      <c r="O513" s="24"/>
      <c r="P513" s="24"/>
    </row>
    <row r="514" spans="6:16" ht="15" x14ac:dyDescent="0.25">
      <c r="F514" s="115"/>
      <c r="H514" s="24"/>
      <c r="I514" s="24"/>
      <c r="J514" s="24"/>
      <c r="K514" s="24"/>
      <c r="L514" s="24"/>
      <c r="M514" s="24"/>
      <c r="N514" s="24"/>
      <c r="O514" s="24"/>
      <c r="P514" s="24"/>
    </row>
    <row r="515" spans="6:16" ht="15" x14ac:dyDescent="0.25">
      <c r="F515" s="115"/>
      <c r="H515" s="24"/>
      <c r="I515" s="24"/>
      <c r="J515" s="24"/>
      <c r="K515" s="24"/>
      <c r="L515" s="24"/>
      <c r="M515" s="24"/>
      <c r="N515" s="24"/>
      <c r="O515" s="24"/>
      <c r="P515" s="24"/>
    </row>
    <row r="516" spans="6:16" ht="15" x14ac:dyDescent="0.25">
      <c r="F516" s="115"/>
      <c r="H516" s="24"/>
      <c r="I516" s="24"/>
      <c r="J516" s="24"/>
      <c r="K516" s="24"/>
      <c r="L516" s="24"/>
      <c r="M516" s="24"/>
      <c r="N516" s="24"/>
      <c r="O516" s="24"/>
      <c r="P516" s="24"/>
    </row>
    <row r="517" spans="6:16" ht="15" x14ac:dyDescent="0.25">
      <c r="F517" s="115"/>
      <c r="H517" s="24"/>
      <c r="I517" s="24"/>
      <c r="J517" s="24"/>
      <c r="K517" s="24"/>
      <c r="L517" s="24"/>
      <c r="M517" s="24"/>
      <c r="N517" s="24"/>
      <c r="O517" s="24"/>
      <c r="P517" s="24"/>
    </row>
    <row r="518" spans="6:16" ht="15" x14ac:dyDescent="0.25">
      <c r="F518" s="115"/>
      <c r="H518" s="24"/>
      <c r="I518" s="24"/>
      <c r="J518" s="24"/>
      <c r="K518" s="24"/>
      <c r="L518" s="24"/>
      <c r="M518" s="24"/>
      <c r="N518" s="24"/>
      <c r="O518" s="24"/>
      <c r="P518" s="24"/>
    </row>
    <row r="519" spans="6:16" ht="15" x14ac:dyDescent="0.25">
      <c r="F519" s="115"/>
      <c r="H519" s="24"/>
      <c r="I519" s="24"/>
      <c r="J519" s="24"/>
      <c r="K519" s="24"/>
      <c r="L519" s="24"/>
      <c r="M519" s="24"/>
      <c r="N519" s="24"/>
      <c r="O519" s="24"/>
      <c r="P519" s="24"/>
    </row>
    <row r="520" spans="6:16" ht="15" x14ac:dyDescent="0.25">
      <c r="F520" s="115"/>
      <c r="H520" s="24"/>
      <c r="I520" s="24"/>
      <c r="J520" s="24"/>
      <c r="K520" s="24"/>
      <c r="L520" s="24"/>
      <c r="M520" s="24"/>
      <c r="N520" s="24"/>
      <c r="O520" s="24"/>
      <c r="P520" s="24"/>
    </row>
    <row r="521" spans="6:16" ht="15" x14ac:dyDescent="0.25">
      <c r="F521" s="115"/>
      <c r="H521" s="24"/>
      <c r="I521" s="24"/>
      <c r="J521" s="24"/>
      <c r="K521" s="24"/>
      <c r="L521" s="24"/>
      <c r="M521" s="24"/>
      <c r="N521" s="24"/>
      <c r="O521" s="24"/>
      <c r="P521" s="24"/>
    </row>
    <row r="522" spans="6:16" ht="15" x14ac:dyDescent="0.25">
      <c r="F522" s="115"/>
      <c r="H522" s="24"/>
      <c r="I522" s="24"/>
      <c r="J522" s="24"/>
      <c r="K522" s="24"/>
      <c r="L522" s="24"/>
      <c r="M522" s="24"/>
      <c r="N522" s="24"/>
      <c r="O522" s="24"/>
      <c r="P522" s="24"/>
    </row>
    <row r="523" spans="6:16" ht="15" x14ac:dyDescent="0.25">
      <c r="F523" s="115"/>
      <c r="H523" s="24"/>
      <c r="I523" s="24"/>
      <c r="J523" s="24"/>
      <c r="K523" s="24"/>
      <c r="L523" s="24"/>
      <c r="M523" s="24"/>
      <c r="N523" s="24"/>
      <c r="O523" s="24"/>
      <c r="P523" s="24"/>
    </row>
    <row r="524" spans="6:16" ht="15" x14ac:dyDescent="0.25">
      <c r="F524" s="115"/>
      <c r="H524" s="24"/>
      <c r="I524" s="24"/>
      <c r="J524" s="24"/>
      <c r="K524" s="24"/>
      <c r="L524" s="24"/>
      <c r="M524" s="24"/>
      <c r="N524" s="24"/>
      <c r="O524" s="24"/>
      <c r="P524" s="24"/>
    </row>
    <row r="525" spans="6:16" ht="15" x14ac:dyDescent="0.25">
      <c r="F525" s="115"/>
      <c r="H525" s="24"/>
      <c r="I525" s="24"/>
      <c r="J525" s="24"/>
      <c r="K525" s="24"/>
      <c r="L525" s="24"/>
      <c r="M525" s="24"/>
      <c r="N525" s="24"/>
      <c r="O525" s="24"/>
      <c r="P525" s="24"/>
    </row>
    <row r="526" spans="6:16" ht="15" x14ac:dyDescent="0.25">
      <c r="F526" s="115"/>
      <c r="H526" s="24"/>
      <c r="I526" s="24"/>
      <c r="J526" s="24"/>
      <c r="K526" s="24"/>
      <c r="L526" s="24"/>
      <c r="M526" s="24"/>
      <c r="N526" s="24"/>
      <c r="O526" s="24"/>
      <c r="P526" s="24"/>
    </row>
    <row r="527" spans="6:16" ht="15" x14ac:dyDescent="0.25">
      <c r="F527" s="115"/>
      <c r="H527" s="24"/>
      <c r="I527" s="24"/>
      <c r="J527" s="24"/>
      <c r="K527" s="24"/>
      <c r="L527" s="24"/>
      <c r="M527" s="24"/>
      <c r="N527" s="24"/>
      <c r="O527" s="24"/>
      <c r="P527" s="24"/>
    </row>
    <row r="528" spans="6:16" ht="15" x14ac:dyDescent="0.25">
      <c r="F528" s="115"/>
      <c r="H528" s="24"/>
      <c r="I528" s="24"/>
      <c r="J528" s="24"/>
      <c r="K528" s="24"/>
      <c r="L528" s="24"/>
      <c r="M528" s="24"/>
      <c r="N528" s="24"/>
      <c r="O528" s="24"/>
      <c r="P528" s="24"/>
    </row>
    <row r="529" spans="6:16" ht="15" x14ac:dyDescent="0.25">
      <c r="F529" s="115"/>
      <c r="H529" s="24"/>
      <c r="I529" s="24"/>
      <c r="J529" s="24"/>
      <c r="K529" s="24"/>
      <c r="L529" s="24"/>
      <c r="M529" s="24"/>
      <c r="N529" s="24"/>
      <c r="O529" s="24"/>
      <c r="P529" s="24"/>
    </row>
    <row r="530" spans="6:16" ht="15" x14ac:dyDescent="0.25">
      <c r="F530" s="115"/>
      <c r="H530" s="24"/>
      <c r="I530" s="24"/>
      <c r="J530" s="24"/>
      <c r="K530" s="24"/>
      <c r="L530" s="24"/>
      <c r="M530" s="24"/>
      <c r="N530" s="24"/>
      <c r="O530" s="24"/>
      <c r="P530" s="24"/>
    </row>
    <row r="531" spans="6:16" ht="15" x14ac:dyDescent="0.25">
      <c r="F531" s="115"/>
      <c r="H531" s="24"/>
      <c r="I531" s="24"/>
      <c r="J531" s="24"/>
      <c r="K531" s="24"/>
      <c r="L531" s="24"/>
      <c r="M531" s="24"/>
      <c r="N531" s="24"/>
      <c r="O531" s="24"/>
      <c r="P531" s="24"/>
    </row>
    <row r="532" spans="6:16" ht="15" x14ac:dyDescent="0.25">
      <c r="F532" s="115"/>
      <c r="H532" s="24"/>
      <c r="I532" s="24"/>
      <c r="J532" s="24"/>
      <c r="K532" s="24"/>
      <c r="L532" s="24"/>
      <c r="M532" s="24"/>
      <c r="N532" s="24"/>
      <c r="O532" s="24"/>
      <c r="P532" s="24"/>
    </row>
    <row r="533" spans="6:16" ht="15" x14ac:dyDescent="0.25">
      <c r="F533" s="115"/>
      <c r="H533" s="24"/>
      <c r="I533" s="24"/>
      <c r="J533" s="24"/>
      <c r="K533" s="24"/>
      <c r="L533" s="24"/>
      <c r="M533" s="24"/>
      <c r="N533" s="24"/>
      <c r="O533" s="24"/>
      <c r="P533" s="24"/>
    </row>
    <row r="534" spans="6:16" ht="15" x14ac:dyDescent="0.25">
      <c r="F534" s="115"/>
      <c r="H534" s="24"/>
      <c r="I534" s="24"/>
      <c r="J534" s="24"/>
      <c r="K534" s="24"/>
      <c r="L534" s="24"/>
      <c r="M534" s="24"/>
      <c r="N534" s="24"/>
      <c r="O534" s="24"/>
      <c r="P534" s="24"/>
    </row>
    <row r="535" spans="6:16" ht="15" x14ac:dyDescent="0.25">
      <c r="F535" s="115"/>
      <c r="H535" s="24"/>
      <c r="I535" s="24"/>
      <c r="J535" s="24"/>
      <c r="K535" s="24"/>
      <c r="L535" s="24"/>
      <c r="M535" s="24"/>
      <c r="N535" s="24"/>
      <c r="O535" s="24"/>
      <c r="P535" s="24"/>
    </row>
    <row r="536" spans="6:16" ht="15" x14ac:dyDescent="0.25">
      <c r="F536" s="115"/>
      <c r="H536" s="24"/>
      <c r="I536" s="24"/>
      <c r="J536" s="24"/>
      <c r="K536" s="24"/>
      <c r="L536" s="24"/>
      <c r="M536" s="24"/>
      <c r="N536" s="24"/>
      <c r="O536" s="24"/>
      <c r="P536" s="24"/>
    </row>
    <row r="537" spans="6:16" ht="15" x14ac:dyDescent="0.25">
      <c r="F537" s="115"/>
      <c r="H537" s="24"/>
      <c r="I537" s="24"/>
      <c r="J537" s="24"/>
      <c r="K537" s="24"/>
      <c r="L537" s="24"/>
      <c r="M537" s="24"/>
      <c r="N537" s="24"/>
      <c r="O537" s="24"/>
      <c r="P537" s="24"/>
    </row>
    <row r="538" spans="6:16" ht="12.75" customHeight="1" x14ac:dyDescent="0.25">
      <c r="F538" s="115"/>
      <c r="H538" s="24"/>
      <c r="I538" s="24"/>
      <c r="J538" s="24"/>
      <c r="K538" s="24"/>
      <c r="L538" s="24"/>
      <c r="M538" s="24"/>
      <c r="N538" s="24"/>
      <c r="O538" s="24"/>
      <c r="P538" s="24"/>
    </row>
    <row r="539" spans="6:16" ht="15" x14ac:dyDescent="0.25">
      <c r="F539" s="115"/>
      <c r="H539" s="24"/>
      <c r="I539" s="24"/>
      <c r="J539" s="24"/>
      <c r="K539" s="24"/>
      <c r="L539" s="24"/>
      <c r="M539" s="24"/>
      <c r="N539" s="24"/>
      <c r="O539" s="24"/>
      <c r="P539" s="24"/>
    </row>
    <row r="540" spans="6:16" ht="15" x14ac:dyDescent="0.25">
      <c r="F540" s="115"/>
      <c r="H540" s="24"/>
      <c r="I540" s="24"/>
      <c r="J540" s="24"/>
      <c r="K540" s="24"/>
      <c r="L540" s="24"/>
      <c r="M540" s="24"/>
      <c r="N540" s="24"/>
      <c r="O540" s="24"/>
      <c r="P540" s="24"/>
    </row>
    <row r="541" spans="6:16" ht="15" x14ac:dyDescent="0.25">
      <c r="F541" s="115"/>
      <c r="H541" s="24"/>
      <c r="I541" s="24"/>
      <c r="J541" s="24"/>
      <c r="K541" s="24"/>
      <c r="L541" s="24"/>
      <c r="M541" s="24"/>
      <c r="N541" s="24"/>
      <c r="O541" s="24"/>
      <c r="P541" s="24"/>
    </row>
    <row r="542" spans="6:16" ht="15" x14ac:dyDescent="0.25">
      <c r="F542" s="115"/>
      <c r="H542" s="24"/>
      <c r="I542" s="24"/>
      <c r="J542" s="24"/>
      <c r="K542" s="24"/>
      <c r="L542" s="24"/>
      <c r="M542" s="24"/>
      <c r="N542" s="24"/>
      <c r="O542" s="24"/>
      <c r="P542" s="24"/>
    </row>
    <row r="543" spans="6:16" ht="15" x14ac:dyDescent="0.25">
      <c r="F543" s="115"/>
      <c r="H543" s="24"/>
      <c r="I543" s="24"/>
      <c r="J543" s="24"/>
      <c r="K543" s="24"/>
      <c r="L543" s="24"/>
      <c r="M543" s="24"/>
      <c r="N543" s="24"/>
      <c r="O543" s="24"/>
      <c r="P543" s="24"/>
    </row>
    <row r="544" spans="6:16" ht="15" x14ac:dyDescent="0.25">
      <c r="F544" s="115"/>
      <c r="H544" s="24"/>
      <c r="I544" s="24"/>
      <c r="J544" s="24"/>
      <c r="K544" s="24"/>
      <c r="L544" s="24"/>
      <c r="M544" s="24"/>
      <c r="N544" s="24"/>
      <c r="O544" s="24"/>
      <c r="P544" s="24"/>
    </row>
    <row r="545" spans="6:16" ht="15" x14ac:dyDescent="0.25">
      <c r="F545" s="115"/>
      <c r="H545" s="24"/>
      <c r="I545" s="24"/>
      <c r="J545" s="24"/>
      <c r="K545" s="24"/>
      <c r="L545" s="24"/>
      <c r="M545" s="24"/>
      <c r="N545" s="24"/>
      <c r="O545" s="24"/>
      <c r="P545" s="24"/>
    </row>
    <row r="546" spans="6:16" ht="15" x14ac:dyDescent="0.25">
      <c r="F546" s="115"/>
      <c r="H546" s="24"/>
      <c r="I546" s="24"/>
      <c r="J546" s="24"/>
      <c r="K546" s="24"/>
      <c r="L546" s="24"/>
      <c r="M546" s="24"/>
      <c r="N546" s="24"/>
      <c r="O546" s="24"/>
      <c r="P546" s="24"/>
    </row>
    <row r="547" spans="6:16" ht="15" x14ac:dyDescent="0.25">
      <c r="F547" s="115"/>
      <c r="H547" s="24"/>
      <c r="I547" s="24"/>
      <c r="J547" s="24"/>
      <c r="K547" s="24"/>
      <c r="L547" s="24"/>
      <c r="M547" s="24"/>
      <c r="N547" s="24"/>
      <c r="O547" s="24"/>
      <c r="P547" s="24"/>
    </row>
    <row r="548" spans="6:16" ht="15" x14ac:dyDescent="0.25">
      <c r="F548" s="115"/>
      <c r="H548" s="24"/>
      <c r="I548" s="24"/>
      <c r="J548" s="24"/>
      <c r="K548" s="24"/>
      <c r="L548" s="24"/>
      <c r="M548" s="24"/>
      <c r="N548" s="24"/>
      <c r="O548" s="24"/>
      <c r="P548" s="24"/>
    </row>
    <row r="549" spans="6:16" ht="15" x14ac:dyDescent="0.25">
      <c r="F549" s="115"/>
      <c r="H549" s="24"/>
      <c r="I549" s="24"/>
      <c r="J549" s="24"/>
      <c r="K549" s="24"/>
      <c r="L549" s="24"/>
      <c r="M549" s="24"/>
      <c r="N549" s="24"/>
      <c r="O549" s="24"/>
      <c r="P549" s="24"/>
    </row>
    <row r="550" spans="6:16" ht="15" x14ac:dyDescent="0.25">
      <c r="F550" s="115"/>
      <c r="H550" s="24"/>
      <c r="I550" s="24"/>
      <c r="J550" s="24"/>
      <c r="K550" s="24"/>
      <c r="L550" s="24"/>
      <c r="M550" s="24"/>
      <c r="N550" s="24"/>
      <c r="O550" s="24"/>
      <c r="P550" s="24"/>
    </row>
    <row r="551" spans="6:16" ht="15" x14ac:dyDescent="0.25">
      <c r="F551" s="115"/>
      <c r="H551" s="24"/>
      <c r="I551" s="24"/>
      <c r="J551" s="24"/>
      <c r="K551" s="24"/>
      <c r="L551" s="24"/>
      <c r="M551" s="24"/>
      <c r="N551" s="24"/>
      <c r="O551" s="24"/>
      <c r="P551" s="24"/>
    </row>
    <row r="552" spans="6:16" ht="15" x14ac:dyDescent="0.25">
      <c r="F552" s="115"/>
      <c r="H552" s="24"/>
      <c r="I552" s="24"/>
      <c r="J552" s="24"/>
      <c r="K552" s="24"/>
      <c r="L552" s="24"/>
      <c r="M552" s="24"/>
      <c r="N552" s="24"/>
      <c r="O552" s="24"/>
      <c r="P552" s="24"/>
    </row>
    <row r="553" spans="6:16" ht="15" x14ac:dyDescent="0.25">
      <c r="F553" s="115"/>
      <c r="H553" s="24"/>
      <c r="I553" s="24"/>
      <c r="J553" s="24"/>
      <c r="K553" s="24"/>
      <c r="L553" s="24"/>
      <c r="M553" s="24"/>
      <c r="N553" s="24"/>
      <c r="O553" s="24"/>
      <c r="P553" s="24"/>
    </row>
    <row r="554" spans="6:16" ht="15" x14ac:dyDescent="0.25">
      <c r="F554" s="115"/>
      <c r="H554" s="24"/>
      <c r="I554" s="24"/>
      <c r="J554" s="24"/>
      <c r="K554" s="24"/>
      <c r="L554" s="24"/>
      <c r="M554" s="24"/>
      <c r="N554" s="24"/>
      <c r="O554" s="24"/>
      <c r="P554" s="24"/>
    </row>
    <row r="555" spans="6:16" ht="15" x14ac:dyDescent="0.25">
      <c r="F555" s="115"/>
      <c r="H555" s="24"/>
      <c r="I555" s="24"/>
      <c r="J555" s="24"/>
      <c r="K555" s="24"/>
      <c r="L555" s="24"/>
      <c r="M555" s="24"/>
      <c r="N555" s="24"/>
      <c r="O555" s="24"/>
      <c r="P555" s="24"/>
    </row>
    <row r="556" spans="6:16" ht="15" x14ac:dyDescent="0.25">
      <c r="F556" s="115"/>
      <c r="H556" s="24"/>
      <c r="I556" s="24"/>
      <c r="J556" s="24"/>
      <c r="K556" s="24"/>
      <c r="L556" s="24"/>
      <c r="M556" s="24"/>
      <c r="N556" s="24"/>
      <c r="O556" s="24"/>
      <c r="P556" s="24"/>
    </row>
    <row r="557" spans="6:16" ht="15" x14ac:dyDescent="0.25">
      <c r="F557" s="115"/>
      <c r="H557" s="24"/>
      <c r="I557" s="24"/>
      <c r="J557" s="24"/>
      <c r="K557" s="24"/>
      <c r="L557" s="24"/>
      <c r="M557" s="24"/>
      <c r="N557" s="24"/>
      <c r="O557" s="24"/>
      <c r="P557" s="24"/>
    </row>
    <row r="558" spans="6:16" ht="15" x14ac:dyDescent="0.25">
      <c r="F558" s="115"/>
      <c r="H558" s="24"/>
      <c r="I558" s="24"/>
      <c r="J558" s="24"/>
      <c r="K558" s="24"/>
      <c r="L558" s="24"/>
      <c r="M558" s="24"/>
      <c r="N558" s="24"/>
      <c r="O558" s="24"/>
      <c r="P558" s="24"/>
    </row>
    <row r="559" spans="6:16" ht="15" x14ac:dyDescent="0.25">
      <c r="F559" s="115"/>
      <c r="H559" s="24"/>
      <c r="I559" s="24"/>
      <c r="J559" s="24"/>
      <c r="K559" s="24"/>
      <c r="L559" s="24"/>
      <c r="M559" s="24"/>
      <c r="N559" s="24"/>
      <c r="O559" s="24"/>
      <c r="P559" s="24"/>
    </row>
    <row r="560" spans="6:16" ht="15" x14ac:dyDescent="0.25">
      <c r="F560" s="115"/>
      <c r="H560" s="24"/>
      <c r="I560" s="24"/>
      <c r="J560" s="24"/>
      <c r="K560" s="24"/>
      <c r="L560" s="24"/>
      <c r="M560" s="24"/>
      <c r="N560" s="24"/>
      <c r="O560" s="24"/>
      <c r="P560" s="24"/>
    </row>
    <row r="561" spans="6:16" ht="15" x14ac:dyDescent="0.25">
      <c r="F561" s="115"/>
      <c r="H561" s="24"/>
      <c r="I561" s="24"/>
      <c r="J561" s="24"/>
      <c r="K561" s="24"/>
      <c r="L561" s="24"/>
      <c r="M561" s="24"/>
      <c r="N561" s="24"/>
      <c r="O561" s="24"/>
      <c r="P561" s="24"/>
    </row>
    <row r="562" spans="6:16" ht="15" x14ac:dyDescent="0.25">
      <c r="F562" s="115"/>
      <c r="H562" s="24"/>
      <c r="I562" s="24"/>
      <c r="J562" s="24"/>
      <c r="K562" s="24"/>
      <c r="L562" s="24"/>
      <c r="M562" s="24"/>
      <c r="N562" s="24"/>
      <c r="O562" s="24"/>
      <c r="P562" s="24"/>
    </row>
    <row r="563" spans="6:16" ht="15" x14ac:dyDescent="0.25">
      <c r="F563" s="115"/>
      <c r="H563" s="24"/>
      <c r="I563" s="24"/>
      <c r="J563" s="24"/>
      <c r="K563" s="24"/>
      <c r="L563" s="24"/>
      <c r="M563" s="24"/>
      <c r="N563" s="24"/>
      <c r="O563" s="24"/>
      <c r="P563" s="24"/>
    </row>
    <row r="564" spans="6:16" ht="15" x14ac:dyDescent="0.25">
      <c r="F564" s="115"/>
      <c r="H564" s="24"/>
      <c r="I564" s="24"/>
      <c r="J564" s="24"/>
      <c r="K564" s="24"/>
      <c r="L564" s="24"/>
      <c r="M564" s="24"/>
      <c r="N564" s="24"/>
      <c r="O564" s="24"/>
      <c r="P564" s="24"/>
    </row>
    <row r="565" spans="6:16" ht="15" x14ac:dyDescent="0.25">
      <c r="F565" s="115"/>
      <c r="H565" s="24"/>
      <c r="I565" s="24"/>
      <c r="J565" s="24"/>
      <c r="K565" s="24"/>
      <c r="L565" s="24"/>
      <c r="M565" s="24"/>
      <c r="N565" s="24"/>
      <c r="O565" s="24"/>
      <c r="P565" s="24"/>
    </row>
    <row r="566" spans="6:16" ht="15" x14ac:dyDescent="0.25">
      <c r="F566" s="115"/>
      <c r="H566" s="24"/>
      <c r="I566" s="24"/>
      <c r="J566" s="24"/>
      <c r="K566" s="24"/>
      <c r="L566" s="24"/>
      <c r="M566" s="24"/>
      <c r="N566" s="24"/>
      <c r="O566" s="24"/>
      <c r="P566" s="24"/>
    </row>
    <row r="567" spans="6:16" ht="15" x14ac:dyDescent="0.25">
      <c r="F567" s="115"/>
      <c r="H567" s="24"/>
      <c r="I567" s="24"/>
      <c r="J567" s="24"/>
      <c r="K567" s="24"/>
      <c r="L567" s="24"/>
      <c r="M567" s="24"/>
      <c r="N567" s="24"/>
      <c r="O567" s="24"/>
      <c r="P567" s="24"/>
    </row>
    <row r="568" spans="6:16" ht="15" x14ac:dyDescent="0.25">
      <c r="F568" s="115"/>
      <c r="H568" s="24"/>
      <c r="I568" s="24"/>
      <c r="J568" s="24"/>
      <c r="K568" s="24"/>
      <c r="L568" s="24"/>
      <c r="M568" s="24"/>
      <c r="N568" s="24"/>
      <c r="O568" s="24"/>
      <c r="P568" s="24"/>
    </row>
    <row r="569" spans="6:16" ht="15" x14ac:dyDescent="0.25">
      <c r="F569" s="115"/>
      <c r="H569" s="24"/>
      <c r="I569" s="24"/>
      <c r="J569" s="24"/>
      <c r="K569" s="24"/>
      <c r="L569" s="24"/>
      <c r="M569" s="24"/>
      <c r="N569" s="24"/>
      <c r="O569" s="24"/>
      <c r="P569" s="24"/>
    </row>
    <row r="570" spans="6:16" ht="15" x14ac:dyDescent="0.25">
      <c r="F570" s="115"/>
      <c r="H570" s="24"/>
      <c r="I570" s="24"/>
      <c r="J570" s="24"/>
      <c r="K570" s="24"/>
      <c r="L570" s="24"/>
      <c r="M570" s="24"/>
      <c r="N570" s="24"/>
      <c r="O570" s="24"/>
      <c r="P570" s="24"/>
    </row>
    <row r="571" spans="6:16" ht="15" x14ac:dyDescent="0.25">
      <c r="F571" s="115"/>
      <c r="H571" s="24"/>
      <c r="I571" s="24"/>
      <c r="J571" s="24"/>
      <c r="K571" s="24"/>
      <c r="L571" s="24"/>
      <c r="M571" s="24"/>
      <c r="N571" s="24"/>
      <c r="O571" s="24"/>
      <c r="P571" s="24"/>
    </row>
    <row r="572" spans="6:16" ht="15" x14ac:dyDescent="0.25">
      <c r="F572" s="115"/>
      <c r="H572" s="24"/>
      <c r="I572" s="24"/>
      <c r="J572" s="24"/>
      <c r="K572" s="24"/>
      <c r="L572" s="24"/>
      <c r="M572" s="24"/>
      <c r="N572" s="24"/>
      <c r="O572" s="24"/>
      <c r="P572" s="24"/>
    </row>
    <row r="573" spans="6:16" ht="15" x14ac:dyDescent="0.25">
      <c r="F573" s="115"/>
      <c r="H573" s="24"/>
      <c r="I573" s="24"/>
      <c r="J573" s="24"/>
      <c r="K573" s="24"/>
      <c r="L573" s="24"/>
      <c r="M573" s="24"/>
      <c r="N573" s="24"/>
      <c r="O573" s="24"/>
      <c r="P573" s="24"/>
    </row>
    <row r="574" spans="6:16" ht="15" x14ac:dyDescent="0.25">
      <c r="F574" s="115"/>
      <c r="H574" s="24"/>
      <c r="I574" s="24"/>
      <c r="J574" s="24"/>
      <c r="K574" s="24"/>
      <c r="L574" s="24"/>
      <c r="M574" s="24"/>
      <c r="N574" s="24"/>
      <c r="O574" s="24"/>
      <c r="P574" s="24"/>
    </row>
    <row r="575" spans="6:16" ht="15" x14ac:dyDescent="0.25">
      <c r="F575" s="115"/>
      <c r="H575" s="24"/>
      <c r="I575" s="24"/>
      <c r="J575" s="24"/>
      <c r="K575" s="24"/>
      <c r="L575" s="24"/>
      <c r="M575" s="24"/>
      <c r="N575" s="24"/>
      <c r="O575" s="24"/>
      <c r="P575" s="24"/>
    </row>
    <row r="576" spans="6:16" ht="15" x14ac:dyDescent="0.25">
      <c r="F576" s="115"/>
      <c r="H576" s="24"/>
      <c r="I576" s="24"/>
      <c r="J576" s="24"/>
      <c r="K576" s="24"/>
      <c r="L576" s="24"/>
      <c r="M576" s="24"/>
      <c r="N576" s="24"/>
      <c r="O576" s="24"/>
      <c r="P576" s="24"/>
    </row>
    <row r="577" spans="6:16" ht="15" x14ac:dyDescent="0.25">
      <c r="F577" s="115"/>
      <c r="H577" s="24"/>
      <c r="I577" s="24"/>
      <c r="J577" s="24"/>
      <c r="K577" s="24"/>
      <c r="L577" s="24"/>
      <c r="M577" s="24"/>
      <c r="N577" s="24"/>
      <c r="O577" s="24"/>
      <c r="P577" s="24"/>
    </row>
    <row r="578" spans="6:16" ht="15" x14ac:dyDescent="0.25">
      <c r="F578" s="115"/>
      <c r="H578" s="24"/>
      <c r="I578" s="24"/>
      <c r="J578" s="24"/>
      <c r="K578" s="24"/>
      <c r="L578" s="24"/>
      <c r="M578" s="24"/>
      <c r="N578" s="24"/>
      <c r="O578" s="24"/>
      <c r="P578" s="24"/>
    </row>
    <row r="579" spans="6:16" ht="12.75" customHeight="1" x14ac:dyDescent="0.25">
      <c r="F579" s="115"/>
      <c r="H579" s="24"/>
      <c r="I579" s="24"/>
      <c r="J579" s="24"/>
      <c r="K579" s="24"/>
      <c r="L579" s="24"/>
      <c r="M579" s="24"/>
      <c r="N579" s="24"/>
      <c r="O579" s="24"/>
      <c r="P579" s="24"/>
    </row>
    <row r="580" spans="6:16" ht="12.75" customHeight="1" x14ac:dyDescent="0.25">
      <c r="F580" s="115"/>
      <c r="H580" s="24"/>
      <c r="I580" s="24"/>
      <c r="J580" s="24"/>
      <c r="K580" s="24"/>
      <c r="L580" s="24"/>
      <c r="M580" s="24"/>
      <c r="N580" s="24"/>
      <c r="O580" s="24"/>
      <c r="P580" s="24"/>
    </row>
    <row r="581" spans="6:16" ht="15" x14ac:dyDescent="0.25">
      <c r="F581" s="115"/>
      <c r="H581" s="24"/>
      <c r="I581" s="24"/>
      <c r="J581" s="24"/>
      <c r="K581" s="24"/>
      <c r="L581" s="24"/>
      <c r="M581" s="24"/>
      <c r="N581" s="24"/>
      <c r="O581" s="24"/>
      <c r="P581" s="24"/>
    </row>
    <row r="582" spans="6:16" ht="15" x14ac:dyDescent="0.25">
      <c r="F582" s="115"/>
      <c r="H582" s="24"/>
      <c r="I582" s="24"/>
      <c r="J582" s="24"/>
      <c r="K582" s="24"/>
      <c r="L582" s="24"/>
      <c r="M582" s="24"/>
      <c r="N582" s="24"/>
      <c r="O582" s="24"/>
      <c r="P582" s="24"/>
    </row>
    <row r="583" spans="6:16" ht="15" x14ac:dyDescent="0.25">
      <c r="F583" s="115"/>
      <c r="H583" s="24"/>
      <c r="I583" s="24"/>
      <c r="J583" s="24"/>
      <c r="K583" s="24"/>
      <c r="L583" s="24"/>
      <c r="M583" s="24"/>
      <c r="N583" s="24"/>
      <c r="O583" s="24"/>
      <c r="P583" s="24"/>
    </row>
    <row r="584" spans="6:16" ht="15" x14ac:dyDescent="0.25">
      <c r="F584" s="115"/>
      <c r="H584" s="24"/>
      <c r="I584" s="24"/>
      <c r="J584" s="24"/>
      <c r="K584" s="24"/>
      <c r="L584" s="24"/>
      <c r="M584" s="24"/>
      <c r="N584" s="24"/>
      <c r="O584" s="24"/>
      <c r="P584" s="24"/>
    </row>
    <row r="585" spans="6:16" ht="15" x14ac:dyDescent="0.25">
      <c r="F585" s="115"/>
      <c r="H585" s="24"/>
      <c r="I585" s="24"/>
      <c r="J585" s="24"/>
      <c r="K585" s="24"/>
      <c r="L585" s="24"/>
      <c r="M585" s="24"/>
      <c r="N585" s="24"/>
      <c r="O585" s="24"/>
      <c r="P585" s="24"/>
    </row>
    <row r="586" spans="6:16" ht="15" x14ac:dyDescent="0.25">
      <c r="F586" s="115"/>
      <c r="H586" s="24"/>
      <c r="I586" s="24"/>
      <c r="J586" s="24"/>
      <c r="K586" s="24"/>
      <c r="L586" s="24"/>
      <c r="M586" s="24"/>
      <c r="N586" s="24"/>
      <c r="O586" s="24"/>
      <c r="P586" s="24"/>
    </row>
    <row r="587" spans="6:16" ht="15" x14ac:dyDescent="0.25">
      <c r="F587" s="115"/>
      <c r="H587" s="24"/>
      <c r="I587" s="24"/>
      <c r="J587" s="24"/>
      <c r="K587" s="24"/>
      <c r="L587" s="24"/>
      <c r="M587" s="24"/>
      <c r="N587" s="24"/>
      <c r="O587" s="24"/>
      <c r="P587" s="24"/>
    </row>
    <row r="588" spans="6:16" ht="15" x14ac:dyDescent="0.25">
      <c r="F588" s="115"/>
      <c r="H588" s="24"/>
      <c r="I588" s="24"/>
      <c r="J588" s="24"/>
      <c r="K588" s="24"/>
      <c r="L588" s="24"/>
      <c r="M588" s="24"/>
      <c r="N588" s="24"/>
      <c r="O588" s="24"/>
      <c r="P588" s="24"/>
    </row>
    <row r="589" spans="6:16" ht="15" x14ac:dyDescent="0.25">
      <c r="F589" s="115"/>
      <c r="H589" s="24"/>
      <c r="I589" s="24"/>
      <c r="J589" s="24"/>
      <c r="K589" s="24"/>
      <c r="L589" s="24"/>
      <c r="M589" s="24"/>
      <c r="N589" s="24"/>
      <c r="O589" s="24"/>
      <c r="P589" s="24"/>
    </row>
    <row r="590" spans="6:16" ht="15" x14ac:dyDescent="0.25">
      <c r="F590" s="115"/>
      <c r="H590" s="24"/>
      <c r="I590" s="24"/>
      <c r="J590" s="24"/>
      <c r="K590" s="24"/>
      <c r="L590" s="24"/>
      <c r="M590" s="24"/>
      <c r="N590" s="24"/>
      <c r="O590" s="24"/>
      <c r="P590" s="24"/>
    </row>
    <row r="591" spans="6:16" ht="15" x14ac:dyDescent="0.25">
      <c r="F591" s="115"/>
      <c r="H591" s="24"/>
      <c r="I591" s="24"/>
      <c r="J591" s="24"/>
      <c r="K591" s="24"/>
      <c r="L591" s="24"/>
      <c r="M591" s="24"/>
      <c r="N591" s="24"/>
      <c r="O591" s="24"/>
      <c r="P591" s="24"/>
    </row>
    <row r="592" spans="6:16" ht="15" x14ac:dyDescent="0.25">
      <c r="F592" s="115"/>
      <c r="H592" s="24"/>
      <c r="I592" s="24"/>
      <c r="J592" s="24"/>
      <c r="K592" s="24"/>
      <c r="L592" s="24"/>
      <c r="M592" s="24"/>
      <c r="N592" s="24"/>
      <c r="O592" s="24"/>
      <c r="P592" s="24"/>
    </row>
    <row r="593" spans="6:16" ht="15" x14ac:dyDescent="0.25">
      <c r="F593" s="115"/>
      <c r="H593" s="24"/>
      <c r="I593" s="24"/>
      <c r="J593" s="24"/>
      <c r="K593" s="24"/>
      <c r="L593" s="24"/>
      <c r="M593" s="24"/>
      <c r="N593" s="24"/>
      <c r="O593" s="24"/>
      <c r="P593" s="24"/>
    </row>
    <row r="594" spans="6:16" ht="15" x14ac:dyDescent="0.25">
      <c r="F594" s="115"/>
      <c r="H594" s="24"/>
      <c r="I594" s="24"/>
      <c r="J594" s="24"/>
      <c r="K594" s="24"/>
      <c r="L594" s="24"/>
      <c r="M594" s="24"/>
      <c r="N594" s="24"/>
      <c r="O594" s="24"/>
      <c r="P594" s="24"/>
    </row>
    <row r="595" spans="6:16" ht="15" x14ac:dyDescent="0.25">
      <c r="F595" s="115"/>
      <c r="H595" s="24"/>
      <c r="I595" s="24"/>
      <c r="J595" s="24"/>
      <c r="K595" s="24"/>
      <c r="L595" s="24"/>
      <c r="M595" s="24"/>
      <c r="N595" s="24"/>
      <c r="O595" s="24"/>
      <c r="P595" s="24"/>
    </row>
    <row r="596" spans="6:16" ht="15" x14ac:dyDescent="0.25">
      <c r="F596" s="115"/>
      <c r="H596" s="24"/>
      <c r="I596" s="24"/>
      <c r="J596" s="24"/>
      <c r="K596" s="24"/>
      <c r="L596" s="24"/>
      <c r="M596" s="24"/>
      <c r="N596" s="24"/>
      <c r="O596" s="24"/>
      <c r="P596" s="24"/>
    </row>
    <row r="597" spans="6:16" ht="15" x14ac:dyDescent="0.25">
      <c r="F597" s="115"/>
      <c r="H597" s="24"/>
      <c r="I597" s="24"/>
      <c r="J597" s="24"/>
      <c r="K597" s="24"/>
      <c r="L597" s="24"/>
      <c r="M597" s="24"/>
      <c r="N597" s="24"/>
      <c r="O597" s="24"/>
      <c r="P597" s="24"/>
    </row>
    <row r="598" spans="6:16" ht="15" x14ac:dyDescent="0.25">
      <c r="F598" s="115"/>
      <c r="H598" s="24"/>
      <c r="I598" s="24"/>
      <c r="J598" s="24"/>
      <c r="K598" s="24"/>
      <c r="L598" s="24"/>
      <c r="M598" s="24"/>
      <c r="N598" s="24"/>
      <c r="O598" s="24"/>
      <c r="P598" s="24"/>
    </row>
    <row r="599" spans="6:16" ht="15" x14ac:dyDescent="0.25">
      <c r="F599" s="115"/>
      <c r="H599" s="24"/>
      <c r="I599" s="24"/>
      <c r="J599" s="24"/>
      <c r="K599" s="24"/>
      <c r="L599" s="24"/>
      <c r="M599" s="24"/>
      <c r="N599" s="24"/>
      <c r="O599" s="24"/>
      <c r="P599" s="24"/>
    </row>
    <row r="600" spans="6:16" ht="15" x14ac:dyDescent="0.25">
      <c r="F600" s="115"/>
      <c r="H600" s="24"/>
      <c r="I600" s="24"/>
      <c r="J600" s="24"/>
      <c r="K600" s="24"/>
      <c r="L600" s="24"/>
      <c r="M600" s="24"/>
      <c r="N600" s="24"/>
      <c r="O600" s="24"/>
      <c r="P600" s="24"/>
    </row>
    <row r="601" spans="6:16" ht="15" x14ac:dyDescent="0.25">
      <c r="F601" s="115"/>
      <c r="H601" s="24"/>
      <c r="I601" s="24"/>
      <c r="J601" s="24"/>
      <c r="K601" s="24"/>
      <c r="L601" s="24"/>
      <c r="M601" s="24"/>
      <c r="N601" s="24"/>
      <c r="O601" s="24"/>
      <c r="P601" s="24"/>
    </row>
    <row r="602" spans="6:16" ht="15" x14ac:dyDescent="0.25">
      <c r="F602" s="115"/>
      <c r="H602" s="24"/>
      <c r="I602" s="24"/>
      <c r="J602" s="24"/>
      <c r="K602" s="24"/>
      <c r="L602" s="24"/>
      <c r="M602" s="24"/>
      <c r="N602" s="24"/>
      <c r="O602" s="24"/>
      <c r="P602" s="24"/>
    </row>
    <row r="603" spans="6:16" ht="15" x14ac:dyDescent="0.25">
      <c r="F603" s="115"/>
      <c r="H603" s="24"/>
      <c r="I603" s="24"/>
      <c r="J603" s="24"/>
      <c r="K603" s="24"/>
      <c r="L603" s="24"/>
      <c r="M603" s="24"/>
      <c r="N603" s="24"/>
      <c r="O603" s="24"/>
      <c r="P603" s="24"/>
    </row>
    <row r="604" spans="6:16" ht="15" x14ac:dyDescent="0.25">
      <c r="F604" s="115"/>
      <c r="H604" s="24"/>
      <c r="I604" s="24"/>
      <c r="J604" s="24"/>
      <c r="K604" s="24"/>
      <c r="L604" s="24"/>
      <c r="M604" s="24"/>
      <c r="N604" s="24"/>
      <c r="O604" s="24"/>
      <c r="P604" s="24"/>
    </row>
    <row r="605" spans="6:16" ht="15" x14ac:dyDescent="0.25">
      <c r="F605" s="115"/>
      <c r="H605" s="24"/>
      <c r="I605" s="24"/>
      <c r="J605" s="24"/>
      <c r="K605" s="24"/>
      <c r="L605" s="24"/>
      <c r="M605" s="24"/>
      <c r="N605" s="24"/>
      <c r="O605" s="24"/>
      <c r="P605" s="24"/>
    </row>
    <row r="606" spans="6:16" ht="15" x14ac:dyDescent="0.25">
      <c r="F606" s="115"/>
      <c r="H606" s="24"/>
      <c r="I606" s="24"/>
      <c r="J606" s="24"/>
      <c r="K606" s="24"/>
      <c r="L606" s="24"/>
      <c r="M606" s="24"/>
      <c r="N606" s="24"/>
      <c r="O606" s="24"/>
      <c r="P606" s="24"/>
    </row>
    <row r="607" spans="6:16" ht="15" x14ac:dyDescent="0.25">
      <c r="F607" s="115"/>
      <c r="H607" s="24"/>
      <c r="I607" s="24"/>
      <c r="J607" s="24"/>
      <c r="K607" s="24"/>
      <c r="L607" s="24"/>
      <c r="M607" s="24"/>
      <c r="N607" s="24"/>
      <c r="O607" s="24"/>
      <c r="P607" s="24"/>
    </row>
    <row r="608" spans="6:16" ht="15" x14ac:dyDescent="0.25">
      <c r="F608" s="115"/>
      <c r="H608" s="24"/>
      <c r="I608" s="24"/>
      <c r="J608" s="24"/>
      <c r="K608" s="24"/>
      <c r="L608" s="24"/>
      <c r="M608" s="24"/>
      <c r="N608" s="24"/>
      <c r="O608" s="24"/>
      <c r="P608" s="24"/>
    </row>
    <row r="609" spans="6:16" ht="15" x14ac:dyDescent="0.25">
      <c r="F609" s="115"/>
      <c r="H609" s="24"/>
      <c r="I609" s="24"/>
      <c r="J609" s="24"/>
      <c r="K609" s="24"/>
      <c r="L609" s="24"/>
      <c r="M609" s="24"/>
      <c r="N609" s="24"/>
      <c r="O609" s="24"/>
      <c r="P609" s="24"/>
    </row>
    <row r="610" spans="6:16" ht="15" x14ac:dyDescent="0.25">
      <c r="F610" s="115"/>
      <c r="H610" s="24"/>
      <c r="I610" s="24"/>
      <c r="J610" s="24"/>
      <c r="K610" s="24"/>
      <c r="L610" s="24"/>
      <c r="M610" s="24"/>
      <c r="N610" s="24"/>
      <c r="O610" s="24"/>
      <c r="P610" s="24"/>
    </row>
    <row r="611" spans="6:16" ht="15" x14ac:dyDescent="0.25">
      <c r="F611" s="115"/>
      <c r="H611" s="24"/>
      <c r="I611" s="24"/>
      <c r="J611" s="24"/>
      <c r="K611" s="24"/>
      <c r="L611" s="24"/>
      <c r="M611" s="24"/>
      <c r="N611" s="24"/>
      <c r="O611" s="24"/>
      <c r="P611" s="24"/>
    </row>
    <row r="612" spans="6:16" ht="15" x14ac:dyDescent="0.25">
      <c r="F612" s="115"/>
      <c r="H612" s="24"/>
      <c r="I612" s="24"/>
      <c r="J612" s="24"/>
      <c r="K612" s="24"/>
      <c r="L612" s="24"/>
      <c r="M612" s="24"/>
      <c r="N612" s="24"/>
      <c r="O612" s="24"/>
      <c r="P612" s="24"/>
    </row>
    <row r="613" spans="6:16" ht="15" x14ac:dyDescent="0.25">
      <c r="F613" s="115"/>
      <c r="H613" s="24"/>
      <c r="I613" s="24"/>
      <c r="J613" s="24"/>
      <c r="K613" s="24"/>
      <c r="L613" s="24"/>
      <c r="M613" s="24"/>
      <c r="N613" s="24"/>
      <c r="O613" s="24"/>
      <c r="P613" s="24"/>
    </row>
    <row r="614" spans="6:16" ht="15" x14ac:dyDescent="0.25">
      <c r="F614" s="115"/>
      <c r="H614" s="24"/>
      <c r="I614" s="24"/>
      <c r="J614" s="24"/>
      <c r="K614" s="24"/>
      <c r="L614" s="24"/>
      <c r="M614" s="24"/>
      <c r="N614" s="24"/>
      <c r="O614" s="24"/>
      <c r="P614" s="24"/>
    </row>
    <row r="615" spans="6:16" ht="15" x14ac:dyDescent="0.25">
      <c r="F615" s="115"/>
      <c r="H615" s="24"/>
      <c r="I615" s="24"/>
      <c r="J615" s="24"/>
      <c r="K615" s="24"/>
      <c r="L615" s="24"/>
      <c r="M615" s="24"/>
      <c r="N615" s="24"/>
      <c r="O615" s="24"/>
      <c r="P615" s="24"/>
    </row>
    <row r="616" spans="6:16" ht="15" x14ac:dyDescent="0.25">
      <c r="F616" s="115"/>
      <c r="H616" s="24"/>
      <c r="I616" s="24"/>
      <c r="J616" s="24"/>
      <c r="K616" s="24"/>
      <c r="L616" s="24"/>
      <c r="M616" s="24"/>
      <c r="N616" s="24"/>
      <c r="O616" s="24"/>
      <c r="P616" s="24"/>
    </row>
    <row r="617" spans="6:16" ht="15" x14ac:dyDescent="0.25">
      <c r="F617" s="115"/>
      <c r="H617" s="24"/>
      <c r="I617" s="24"/>
      <c r="J617" s="24"/>
      <c r="K617" s="24"/>
      <c r="L617" s="24"/>
      <c r="M617" s="24"/>
      <c r="N617" s="24"/>
      <c r="O617" s="24"/>
      <c r="P617" s="24"/>
    </row>
    <row r="618" spans="6:16" ht="15" x14ac:dyDescent="0.25">
      <c r="F618" s="115"/>
      <c r="H618" s="24"/>
      <c r="I618" s="24"/>
      <c r="J618" s="24"/>
      <c r="K618" s="24"/>
      <c r="L618" s="24"/>
      <c r="M618" s="24"/>
      <c r="N618" s="24"/>
      <c r="O618" s="24"/>
      <c r="P618" s="24"/>
    </row>
    <row r="619" spans="6:16" ht="15" x14ac:dyDescent="0.25">
      <c r="F619" s="115"/>
      <c r="H619" s="24"/>
      <c r="I619" s="24"/>
      <c r="J619" s="24"/>
      <c r="K619" s="24"/>
      <c r="L619" s="24"/>
      <c r="M619" s="24"/>
      <c r="N619" s="24"/>
      <c r="O619" s="24"/>
      <c r="P619" s="24"/>
    </row>
    <row r="620" spans="6:16" ht="15" x14ac:dyDescent="0.25">
      <c r="F620" s="115"/>
      <c r="H620" s="24"/>
      <c r="I620" s="24"/>
      <c r="J620" s="24"/>
      <c r="K620" s="24"/>
      <c r="L620" s="24"/>
      <c r="M620" s="24"/>
      <c r="N620" s="24"/>
      <c r="O620" s="24"/>
      <c r="P620" s="24"/>
    </row>
    <row r="621" spans="6:16" ht="15" x14ac:dyDescent="0.25">
      <c r="F621" s="115"/>
      <c r="H621" s="24"/>
      <c r="I621" s="24"/>
      <c r="J621" s="24"/>
      <c r="K621" s="24"/>
      <c r="L621" s="24"/>
      <c r="M621" s="24"/>
      <c r="N621" s="24"/>
      <c r="O621" s="24"/>
      <c r="P621" s="24"/>
    </row>
    <row r="622" spans="6:16" ht="15" x14ac:dyDescent="0.25">
      <c r="F622" s="115"/>
      <c r="H622" s="24"/>
      <c r="I622" s="24"/>
      <c r="J622" s="24"/>
      <c r="K622" s="24"/>
      <c r="L622" s="24"/>
      <c r="M622" s="24"/>
      <c r="N622" s="24"/>
      <c r="O622" s="24"/>
      <c r="P622" s="24"/>
    </row>
    <row r="623" spans="6:16" ht="15" x14ac:dyDescent="0.25">
      <c r="F623" s="115"/>
      <c r="H623" s="24"/>
      <c r="I623" s="24"/>
      <c r="J623" s="24"/>
      <c r="K623" s="24"/>
      <c r="L623" s="24"/>
      <c r="M623" s="24"/>
      <c r="N623" s="24"/>
      <c r="O623" s="24"/>
      <c r="P623" s="24"/>
    </row>
    <row r="624" spans="6:16" ht="15" x14ac:dyDescent="0.25">
      <c r="F624" s="115"/>
      <c r="H624" s="24"/>
      <c r="I624" s="24"/>
      <c r="J624" s="24"/>
      <c r="K624" s="24"/>
      <c r="L624" s="24"/>
      <c r="M624" s="24"/>
      <c r="N624" s="24"/>
      <c r="O624" s="24"/>
      <c r="P624" s="24"/>
    </row>
    <row r="625" spans="6:16" ht="15" x14ac:dyDescent="0.25">
      <c r="F625" s="115"/>
      <c r="H625" s="24"/>
      <c r="I625" s="24"/>
      <c r="J625" s="24"/>
      <c r="K625" s="24"/>
      <c r="L625" s="24"/>
      <c r="M625" s="24"/>
      <c r="N625" s="24"/>
      <c r="O625" s="24"/>
      <c r="P625" s="24"/>
    </row>
    <row r="626" spans="6:16" ht="15" x14ac:dyDescent="0.25">
      <c r="F626" s="115"/>
      <c r="H626" s="24"/>
      <c r="I626" s="24"/>
      <c r="J626" s="24"/>
      <c r="K626" s="24"/>
      <c r="L626" s="24"/>
      <c r="M626" s="24"/>
      <c r="N626" s="24"/>
      <c r="O626" s="24"/>
      <c r="P626" s="24"/>
    </row>
    <row r="627" spans="6:16" ht="15" x14ac:dyDescent="0.25">
      <c r="F627" s="115"/>
      <c r="H627" s="24"/>
      <c r="I627" s="24"/>
      <c r="J627" s="24"/>
      <c r="K627" s="24"/>
      <c r="L627" s="24"/>
      <c r="M627" s="24"/>
      <c r="N627" s="24"/>
      <c r="O627" s="24"/>
      <c r="P627" s="24"/>
    </row>
    <row r="628" spans="6:16" ht="15" x14ac:dyDescent="0.25">
      <c r="F628" s="115"/>
      <c r="H628" s="24"/>
      <c r="I628" s="24"/>
      <c r="J628" s="24"/>
      <c r="K628" s="24"/>
      <c r="L628" s="24"/>
      <c r="M628" s="24"/>
      <c r="N628" s="24"/>
      <c r="O628" s="24"/>
      <c r="P628" s="24"/>
    </row>
    <row r="629" spans="6:16" ht="15" x14ac:dyDescent="0.25">
      <c r="F629" s="115"/>
      <c r="H629" s="24"/>
      <c r="I629" s="24"/>
      <c r="J629" s="24"/>
      <c r="K629" s="24"/>
      <c r="L629" s="24"/>
      <c r="M629" s="24"/>
      <c r="N629" s="24"/>
      <c r="O629" s="24"/>
      <c r="P629" s="24"/>
    </row>
    <row r="630" spans="6:16" ht="15" x14ac:dyDescent="0.25">
      <c r="F630" s="115"/>
      <c r="H630" s="24"/>
      <c r="I630" s="24"/>
      <c r="J630" s="24"/>
      <c r="K630" s="24"/>
      <c r="L630" s="24"/>
      <c r="M630" s="24"/>
      <c r="N630" s="24"/>
      <c r="O630" s="24"/>
      <c r="P630" s="24"/>
    </row>
    <row r="631" spans="6:16" ht="15" x14ac:dyDescent="0.25">
      <c r="F631" s="115"/>
      <c r="H631" s="24"/>
      <c r="I631" s="24"/>
      <c r="J631" s="24"/>
      <c r="K631" s="24"/>
      <c r="L631" s="24"/>
      <c r="M631" s="24"/>
      <c r="N631" s="24"/>
      <c r="O631" s="24"/>
      <c r="P631" s="24"/>
    </row>
    <row r="632" spans="6:16" ht="15" x14ac:dyDescent="0.25">
      <c r="F632" s="115"/>
      <c r="H632" s="24"/>
      <c r="I632" s="24"/>
      <c r="J632" s="24"/>
      <c r="K632" s="24"/>
      <c r="L632" s="24"/>
      <c r="M632" s="24"/>
      <c r="N632" s="24"/>
      <c r="O632" s="24"/>
      <c r="P632" s="24"/>
    </row>
    <row r="633" spans="6:16" ht="15" x14ac:dyDescent="0.25">
      <c r="F633" s="115"/>
      <c r="H633" s="24"/>
      <c r="I633" s="24"/>
      <c r="J633" s="24"/>
      <c r="K633" s="24"/>
      <c r="L633" s="24"/>
      <c r="M633" s="24"/>
      <c r="N633" s="24"/>
      <c r="O633" s="24"/>
      <c r="P633" s="24"/>
    </row>
    <row r="634" spans="6:16" ht="15" x14ac:dyDescent="0.25">
      <c r="F634" s="115"/>
      <c r="H634" s="24"/>
      <c r="I634" s="24"/>
      <c r="J634" s="24"/>
      <c r="K634" s="24"/>
      <c r="L634" s="24"/>
      <c r="M634" s="24"/>
      <c r="N634" s="24"/>
      <c r="O634" s="24"/>
      <c r="P634" s="24"/>
    </row>
    <row r="635" spans="6:16" ht="15" x14ac:dyDescent="0.25">
      <c r="F635" s="115"/>
      <c r="H635" s="24"/>
      <c r="I635" s="24"/>
      <c r="J635" s="24"/>
      <c r="K635" s="24"/>
      <c r="L635" s="24"/>
      <c r="M635" s="24"/>
      <c r="N635" s="24"/>
      <c r="O635" s="24"/>
      <c r="P635" s="24"/>
    </row>
    <row r="636" spans="6:16" ht="15" x14ac:dyDescent="0.25">
      <c r="F636" s="115"/>
      <c r="H636" s="24"/>
      <c r="I636" s="24"/>
      <c r="J636" s="24"/>
      <c r="K636" s="24"/>
      <c r="L636" s="24"/>
      <c r="M636" s="24"/>
      <c r="N636" s="24"/>
      <c r="O636" s="24"/>
      <c r="P636" s="24"/>
    </row>
    <row r="637" spans="6:16" ht="15" x14ac:dyDescent="0.25">
      <c r="F637" s="115"/>
      <c r="H637" s="24"/>
      <c r="I637" s="24"/>
      <c r="J637" s="24"/>
      <c r="K637" s="24"/>
      <c r="L637" s="24"/>
      <c r="M637" s="24"/>
      <c r="N637" s="24"/>
      <c r="O637" s="24"/>
      <c r="P637" s="24"/>
    </row>
    <row r="638" spans="6:16" ht="15" x14ac:dyDescent="0.25">
      <c r="F638" s="115"/>
      <c r="H638" s="24"/>
      <c r="I638" s="24"/>
      <c r="J638" s="24"/>
      <c r="K638" s="24"/>
      <c r="L638" s="24"/>
      <c r="M638" s="24"/>
      <c r="N638" s="24"/>
      <c r="O638" s="24"/>
      <c r="P638" s="24"/>
    </row>
    <row r="639" spans="6:16" ht="15" x14ac:dyDescent="0.25">
      <c r="F639" s="115"/>
      <c r="H639" s="24"/>
      <c r="I639" s="24"/>
      <c r="J639" s="24"/>
      <c r="K639" s="24"/>
      <c r="L639" s="24"/>
      <c r="M639" s="24"/>
      <c r="N639" s="24"/>
      <c r="O639" s="24"/>
      <c r="P639" s="24"/>
    </row>
    <row r="640" spans="6:16" ht="15" x14ac:dyDescent="0.25">
      <c r="F640" s="115"/>
      <c r="H640" s="24"/>
      <c r="I640" s="24"/>
      <c r="J640" s="24"/>
      <c r="K640" s="24"/>
      <c r="L640" s="24"/>
      <c r="M640" s="24"/>
      <c r="N640" s="24"/>
      <c r="O640" s="24"/>
      <c r="P640" s="24"/>
    </row>
    <row r="641" spans="6:16" ht="15" x14ac:dyDescent="0.25">
      <c r="F641" s="115"/>
      <c r="H641" s="24"/>
      <c r="I641" s="24"/>
      <c r="J641" s="24"/>
      <c r="K641" s="24"/>
      <c r="L641" s="24"/>
      <c r="M641" s="24"/>
      <c r="N641" s="24"/>
      <c r="O641" s="24"/>
      <c r="P641" s="24"/>
    </row>
    <row r="642" spans="6:16" ht="15" x14ac:dyDescent="0.25">
      <c r="F642" s="115"/>
      <c r="H642" s="24"/>
      <c r="I642" s="24"/>
      <c r="J642" s="24"/>
      <c r="K642" s="24"/>
      <c r="L642" s="24"/>
      <c r="M642" s="24"/>
      <c r="N642" s="24"/>
      <c r="O642" s="24"/>
      <c r="P642" s="24"/>
    </row>
    <row r="643" spans="6:16" ht="15" x14ac:dyDescent="0.25">
      <c r="F643" s="115"/>
      <c r="H643" s="24"/>
      <c r="I643" s="24"/>
      <c r="J643" s="24"/>
      <c r="K643" s="24"/>
      <c r="L643" s="24"/>
      <c r="M643" s="24"/>
      <c r="N643" s="24"/>
      <c r="O643" s="24"/>
      <c r="P643" s="24"/>
    </row>
    <row r="644" spans="6:16" ht="15" x14ac:dyDescent="0.25">
      <c r="F644" s="115"/>
      <c r="H644" s="24"/>
      <c r="I644" s="24"/>
      <c r="J644" s="24"/>
      <c r="K644" s="24"/>
      <c r="L644" s="24"/>
      <c r="M644" s="24"/>
      <c r="N644" s="24"/>
      <c r="O644" s="24"/>
      <c r="P644" s="24"/>
    </row>
    <row r="645" spans="6:16" ht="15" x14ac:dyDescent="0.25">
      <c r="F645" s="115"/>
      <c r="H645" s="24"/>
      <c r="I645" s="24"/>
      <c r="J645" s="24"/>
      <c r="K645" s="24"/>
      <c r="L645" s="24"/>
      <c r="M645" s="24"/>
      <c r="N645" s="24"/>
      <c r="O645" s="24"/>
      <c r="P645" s="24"/>
    </row>
    <row r="646" spans="6:16" ht="15" x14ac:dyDescent="0.25">
      <c r="F646" s="115"/>
      <c r="H646" s="24"/>
      <c r="I646" s="24"/>
      <c r="J646" s="24"/>
      <c r="K646" s="24"/>
      <c r="L646" s="24"/>
      <c r="M646" s="24"/>
      <c r="N646" s="24"/>
      <c r="O646" s="24"/>
      <c r="P646" s="24"/>
    </row>
    <row r="647" spans="6:16" ht="15" x14ac:dyDescent="0.25">
      <c r="F647" s="116"/>
      <c r="H647" s="24"/>
      <c r="I647" s="24"/>
      <c r="J647" s="24"/>
      <c r="K647" s="24"/>
      <c r="L647" s="24"/>
      <c r="M647" s="24"/>
      <c r="N647" s="24"/>
      <c r="O647" s="24"/>
      <c r="P647" s="24"/>
    </row>
    <row r="648" spans="6:16" ht="15" x14ac:dyDescent="0.25">
      <c r="F648" s="115"/>
      <c r="H648" s="24"/>
      <c r="I648" s="24"/>
      <c r="J648" s="24"/>
      <c r="K648" s="24"/>
      <c r="L648" s="24"/>
      <c r="M648" s="24"/>
      <c r="N648" s="24"/>
      <c r="O648" s="24"/>
      <c r="P648" s="24"/>
    </row>
    <row r="649" spans="6:16" ht="15" x14ac:dyDescent="0.25">
      <c r="F649" s="115"/>
      <c r="H649" s="24"/>
      <c r="I649" s="24"/>
      <c r="J649" s="24"/>
      <c r="K649" s="24"/>
      <c r="L649" s="24"/>
      <c r="M649" s="24"/>
      <c r="N649" s="24"/>
      <c r="O649" s="24"/>
      <c r="P649" s="24"/>
    </row>
    <row r="650" spans="6:16" ht="15" x14ac:dyDescent="0.25">
      <c r="F650" s="115"/>
      <c r="H650" s="24"/>
      <c r="I650" s="24"/>
      <c r="J650" s="24"/>
      <c r="K650" s="24"/>
      <c r="L650" s="24"/>
      <c r="M650" s="24"/>
      <c r="N650" s="24"/>
      <c r="O650" s="24"/>
      <c r="P650" s="24"/>
    </row>
    <row r="651" spans="6:16" ht="15" x14ac:dyDescent="0.25">
      <c r="F651" s="115"/>
      <c r="H651" s="24"/>
      <c r="I651" s="24"/>
      <c r="J651" s="24"/>
      <c r="K651" s="24"/>
      <c r="L651" s="24"/>
      <c r="M651" s="24"/>
      <c r="N651" s="24"/>
      <c r="O651" s="24"/>
      <c r="P651" s="24"/>
    </row>
    <row r="652" spans="6:16" ht="15" x14ac:dyDescent="0.25">
      <c r="F652" s="115"/>
      <c r="H652" s="24"/>
      <c r="I652" s="24"/>
      <c r="J652" s="24"/>
      <c r="K652" s="24"/>
      <c r="L652" s="24"/>
      <c r="M652" s="24"/>
      <c r="N652" s="24"/>
      <c r="O652" s="24"/>
      <c r="P652" s="24"/>
    </row>
    <row r="653" spans="6:16" ht="15" x14ac:dyDescent="0.25">
      <c r="F653" s="115"/>
      <c r="H653" s="24"/>
      <c r="I653" s="24"/>
      <c r="J653" s="24"/>
      <c r="K653" s="24"/>
      <c r="L653" s="24"/>
      <c r="M653" s="24"/>
      <c r="N653" s="24"/>
      <c r="O653" s="24"/>
      <c r="P653" s="24"/>
    </row>
    <row r="654" spans="6:16" ht="15" x14ac:dyDescent="0.25">
      <c r="F654" s="115"/>
      <c r="H654" s="24"/>
      <c r="I654" s="24"/>
      <c r="J654" s="24"/>
      <c r="K654" s="24"/>
      <c r="L654" s="24"/>
      <c r="M654" s="24"/>
      <c r="N654" s="24"/>
      <c r="O654" s="24"/>
      <c r="P654" s="24"/>
    </row>
    <row r="655" spans="6:16" ht="15" x14ac:dyDescent="0.25">
      <c r="F655" s="115"/>
      <c r="H655" s="24"/>
      <c r="I655" s="24"/>
      <c r="J655" s="24"/>
      <c r="K655" s="24"/>
      <c r="L655" s="24"/>
      <c r="M655" s="24"/>
      <c r="N655" s="24"/>
      <c r="O655" s="24"/>
      <c r="P655" s="24"/>
    </row>
    <row r="656" spans="6:16" ht="15" x14ac:dyDescent="0.25">
      <c r="F656" s="115"/>
      <c r="H656" s="24"/>
      <c r="I656" s="24"/>
      <c r="J656" s="24"/>
      <c r="K656" s="24"/>
      <c r="L656" s="24"/>
      <c r="M656" s="24"/>
      <c r="N656" s="24"/>
      <c r="O656" s="24"/>
      <c r="P656" s="24"/>
    </row>
    <row r="657" spans="6:16" ht="15" x14ac:dyDescent="0.25">
      <c r="F657" s="115"/>
      <c r="H657" s="24"/>
      <c r="I657" s="24"/>
      <c r="J657" s="24"/>
      <c r="K657" s="24"/>
      <c r="L657" s="24"/>
      <c r="M657" s="24"/>
      <c r="N657" s="24"/>
      <c r="O657" s="24"/>
      <c r="P657" s="24"/>
    </row>
    <row r="658" spans="6:16" ht="15" x14ac:dyDescent="0.25">
      <c r="F658" s="115"/>
      <c r="H658" s="24"/>
      <c r="I658" s="24"/>
      <c r="J658" s="24"/>
      <c r="K658" s="24"/>
      <c r="L658" s="24"/>
      <c r="M658" s="24"/>
      <c r="N658" s="24"/>
      <c r="O658" s="24"/>
      <c r="P658" s="24"/>
    </row>
    <row r="659" spans="6:16" ht="15" x14ac:dyDescent="0.25">
      <c r="F659" s="115"/>
      <c r="H659" s="24"/>
      <c r="I659" s="24"/>
      <c r="J659" s="24"/>
      <c r="K659" s="24"/>
      <c r="L659" s="24"/>
      <c r="M659" s="24"/>
      <c r="N659" s="24"/>
      <c r="O659" s="24"/>
      <c r="P659" s="24"/>
    </row>
    <row r="660" spans="6:16" ht="15" x14ac:dyDescent="0.25">
      <c r="F660" s="115"/>
      <c r="H660" s="24"/>
      <c r="I660" s="24"/>
      <c r="J660" s="24"/>
      <c r="K660" s="24"/>
      <c r="L660" s="24"/>
      <c r="M660" s="24"/>
      <c r="N660" s="24"/>
      <c r="O660" s="24"/>
      <c r="P660" s="24"/>
    </row>
    <row r="661" spans="6:16" ht="15" x14ac:dyDescent="0.25">
      <c r="F661" s="115"/>
      <c r="H661" s="24"/>
      <c r="I661" s="24"/>
      <c r="J661" s="24"/>
      <c r="K661" s="24"/>
      <c r="L661" s="24"/>
      <c r="M661" s="24"/>
      <c r="N661" s="24"/>
      <c r="O661" s="24"/>
      <c r="P661" s="24"/>
    </row>
    <row r="662" spans="6:16" ht="15" x14ac:dyDescent="0.25">
      <c r="F662" s="115"/>
      <c r="H662" s="24"/>
      <c r="I662" s="24"/>
      <c r="J662" s="24"/>
      <c r="K662" s="24"/>
      <c r="L662" s="24"/>
      <c r="M662" s="24"/>
      <c r="N662" s="24"/>
      <c r="O662" s="24"/>
      <c r="P662" s="24"/>
    </row>
    <row r="663" spans="6:16" ht="15" x14ac:dyDescent="0.25">
      <c r="F663" s="115"/>
      <c r="H663" s="24"/>
      <c r="I663" s="24"/>
      <c r="J663" s="24"/>
      <c r="K663" s="24"/>
      <c r="L663" s="24"/>
      <c r="M663" s="24"/>
      <c r="N663" s="24"/>
      <c r="O663" s="24"/>
      <c r="P663" s="24"/>
    </row>
    <row r="664" spans="6:16" ht="15" x14ac:dyDescent="0.25">
      <c r="F664" s="115"/>
      <c r="H664" s="24"/>
      <c r="I664" s="24"/>
      <c r="J664" s="24"/>
      <c r="K664" s="24"/>
      <c r="L664" s="24"/>
      <c r="M664" s="24"/>
      <c r="N664" s="24"/>
      <c r="O664" s="24"/>
      <c r="P664" s="24"/>
    </row>
    <row r="665" spans="6:16" ht="15" x14ac:dyDescent="0.25">
      <c r="F665" s="115"/>
      <c r="H665" s="24"/>
      <c r="I665" s="24"/>
      <c r="J665" s="24"/>
      <c r="K665" s="24"/>
      <c r="L665" s="24"/>
      <c r="M665" s="24"/>
      <c r="N665" s="24"/>
      <c r="O665" s="24"/>
      <c r="P665" s="24"/>
    </row>
    <row r="666" spans="6:16" ht="15" x14ac:dyDescent="0.25">
      <c r="F666" s="115"/>
      <c r="H666" s="24"/>
      <c r="I666" s="24"/>
      <c r="J666" s="24"/>
      <c r="K666" s="24"/>
      <c r="L666" s="24"/>
      <c r="M666" s="24"/>
      <c r="N666" s="24"/>
      <c r="O666" s="24"/>
      <c r="P666" s="24"/>
    </row>
    <row r="667" spans="6:16" ht="15" x14ac:dyDescent="0.25">
      <c r="F667" s="115"/>
      <c r="H667" s="24"/>
      <c r="I667" s="24"/>
      <c r="J667" s="24"/>
      <c r="K667" s="24"/>
      <c r="L667" s="24"/>
      <c r="M667" s="24"/>
      <c r="N667" s="24"/>
      <c r="O667" s="24"/>
      <c r="P667" s="24"/>
    </row>
    <row r="668" spans="6:16" ht="15" x14ac:dyDescent="0.25">
      <c r="F668" s="115"/>
      <c r="H668" s="24"/>
      <c r="I668" s="24"/>
      <c r="J668" s="24"/>
      <c r="K668" s="24"/>
      <c r="L668" s="24"/>
      <c r="M668" s="24"/>
      <c r="N668" s="24"/>
      <c r="O668" s="24"/>
      <c r="P668" s="24"/>
    </row>
    <row r="669" spans="6:16" ht="15" x14ac:dyDescent="0.25">
      <c r="F669" s="115"/>
      <c r="H669" s="24"/>
      <c r="I669" s="24"/>
      <c r="J669" s="24"/>
      <c r="K669" s="24"/>
      <c r="L669" s="24"/>
      <c r="M669" s="24"/>
      <c r="N669" s="24"/>
      <c r="O669" s="24"/>
      <c r="P669" s="24"/>
    </row>
    <row r="670" spans="6:16" ht="15" x14ac:dyDescent="0.25">
      <c r="F670" s="115"/>
      <c r="H670" s="24"/>
      <c r="I670" s="24"/>
      <c r="J670" s="24"/>
      <c r="K670" s="24"/>
      <c r="L670" s="24"/>
      <c r="M670" s="24"/>
      <c r="N670" s="24"/>
      <c r="O670" s="24"/>
      <c r="P670" s="24"/>
    </row>
    <row r="671" spans="6:16" ht="15" x14ac:dyDescent="0.25">
      <c r="F671" s="115"/>
      <c r="H671" s="24"/>
      <c r="I671" s="24"/>
      <c r="J671" s="24"/>
      <c r="K671" s="24"/>
      <c r="L671" s="24"/>
      <c r="M671" s="24"/>
      <c r="N671" s="24"/>
      <c r="O671" s="24"/>
      <c r="P671" s="24"/>
    </row>
    <row r="672" spans="6:16" ht="15" x14ac:dyDescent="0.25">
      <c r="F672" s="115"/>
      <c r="H672" s="24"/>
      <c r="I672" s="24"/>
      <c r="J672" s="24"/>
      <c r="K672" s="24"/>
      <c r="L672" s="24"/>
      <c r="M672" s="24"/>
      <c r="N672" s="24"/>
      <c r="O672" s="24"/>
      <c r="P672" s="24"/>
    </row>
    <row r="673" spans="6:16" ht="15" x14ac:dyDescent="0.25">
      <c r="F673" s="115"/>
      <c r="H673" s="24"/>
      <c r="I673" s="24"/>
      <c r="J673" s="24"/>
      <c r="K673" s="24"/>
      <c r="L673" s="24"/>
      <c r="M673" s="24"/>
      <c r="N673" s="24"/>
      <c r="O673" s="24"/>
      <c r="P673" s="24"/>
    </row>
    <row r="674" spans="6:16" ht="15" x14ac:dyDescent="0.25">
      <c r="F674" s="115"/>
      <c r="H674" s="24"/>
      <c r="I674" s="24"/>
      <c r="J674" s="24"/>
      <c r="K674" s="24"/>
      <c r="L674" s="24"/>
      <c r="M674" s="24"/>
      <c r="N674" s="24"/>
      <c r="O674" s="24"/>
      <c r="P674" s="24"/>
    </row>
    <row r="675" spans="6:16" ht="15" x14ac:dyDescent="0.25">
      <c r="F675" s="115"/>
      <c r="H675" s="24"/>
      <c r="I675" s="24"/>
      <c r="J675" s="24"/>
      <c r="K675" s="24"/>
      <c r="L675" s="24"/>
      <c r="M675" s="24"/>
      <c r="N675" s="24"/>
      <c r="O675" s="24"/>
      <c r="P675" s="24"/>
    </row>
    <row r="676" spans="6:16" ht="15" x14ac:dyDescent="0.25">
      <c r="F676" s="115"/>
      <c r="H676" s="24"/>
      <c r="I676" s="24"/>
      <c r="J676" s="24"/>
      <c r="K676" s="24"/>
      <c r="L676" s="24"/>
      <c r="M676" s="24"/>
      <c r="N676" s="24"/>
      <c r="O676" s="24"/>
      <c r="P676" s="24"/>
    </row>
    <row r="677" spans="6:16" ht="15" x14ac:dyDescent="0.25">
      <c r="F677" s="115"/>
      <c r="H677" s="24"/>
      <c r="I677" s="24"/>
      <c r="J677" s="24"/>
      <c r="K677" s="24"/>
      <c r="L677" s="24"/>
      <c r="M677" s="24"/>
      <c r="N677" s="24"/>
      <c r="O677" s="24"/>
      <c r="P677" s="24"/>
    </row>
    <row r="678" spans="6:16" ht="15" x14ac:dyDescent="0.25">
      <c r="F678" s="115"/>
      <c r="H678" s="24"/>
      <c r="I678" s="24"/>
      <c r="J678" s="24"/>
      <c r="K678" s="24"/>
      <c r="L678" s="24"/>
      <c r="M678" s="24"/>
      <c r="N678" s="24"/>
      <c r="O678" s="24"/>
      <c r="P678" s="24"/>
    </row>
    <row r="679" spans="6:16" ht="15" x14ac:dyDescent="0.25">
      <c r="F679" s="115"/>
      <c r="H679" s="24"/>
      <c r="I679" s="24"/>
      <c r="J679" s="24"/>
      <c r="K679" s="24"/>
      <c r="L679" s="24"/>
      <c r="M679" s="24"/>
      <c r="N679" s="24"/>
      <c r="O679" s="24"/>
      <c r="P679" s="24"/>
    </row>
    <row r="680" spans="6:16" ht="15" x14ac:dyDescent="0.25">
      <c r="F680" s="115"/>
      <c r="H680" s="24"/>
      <c r="I680" s="24"/>
      <c r="J680" s="24"/>
      <c r="K680" s="24"/>
      <c r="L680" s="24"/>
      <c r="M680" s="24"/>
      <c r="N680" s="24"/>
      <c r="O680" s="24"/>
      <c r="P680" s="24"/>
    </row>
    <row r="681" spans="6:16" ht="15" x14ac:dyDescent="0.25">
      <c r="F681" s="115"/>
      <c r="H681" s="24"/>
      <c r="I681" s="24"/>
      <c r="J681" s="24"/>
      <c r="K681" s="24"/>
      <c r="L681" s="24"/>
      <c r="M681" s="24"/>
      <c r="N681" s="24"/>
      <c r="O681" s="24"/>
      <c r="P681" s="24"/>
    </row>
    <row r="682" spans="6:16" ht="15" x14ac:dyDescent="0.25">
      <c r="F682" s="115"/>
      <c r="H682" s="24"/>
      <c r="I682" s="24"/>
      <c r="J682" s="24"/>
      <c r="K682" s="24"/>
      <c r="L682" s="24"/>
      <c r="M682" s="24"/>
      <c r="N682" s="24"/>
      <c r="O682" s="24"/>
      <c r="P682" s="24"/>
    </row>
    <row r="683" spans="6:16" ht="15" x14ac:dyDescent="0.25">
      <c r="F683" s="115"/>
      <c r="H683" s="24"/>
      <c r="I683" s="24"/>
      <c r="J683" s="24"/>
      <c r="K683" s="24"/>
      <c r="L683" s="24"/>
      <c r="M683" s="24"/>
      <c r="N683" s="24"/>
      <c r="O683" s="24"/>
      <c r="P683" s="24"/>
    </row>
    <row r="684" spans="6:16" ht="15" x14ac:dyDescent="0.25">
      <c r="F684" s="115"/>
      <c r="H684" s="24"/>
      <c r="I684" s="24"/>
      <c r="J684" s="24"/>
      <c r="K684" s="24"/>
      <c r="L684" s="24"/>
      <c r="M684" s="24"/>
      <c r="N684" s="24"/>
      <c r="O684" s="24"/>
      <c r="P684" s="24"/>
    </row>
    <row r="685" spans="6:16" ht="15" x14ac:dyDescent="0.25">
      <c r="F685" s="115"/>
      <c r="H685" s="24"/>
      <c r="I685" s="24"/>
      <c r="J685" s="24"/>
      <c r="K685" s="24"/>
      <c r="L685" s="24"/>
      <c r="M685" s="24"/>
      <c r="N685" s="24"/>
      <c r="O685" s="24"/>
      <c r="P685" s="24"/>
    </row>
    <row r="686" spans="6:16" ht="15" x14ac:dyDescent="0.25">
      <c r="F686" s="115"/>
      <c r="H686" s="24"/>
      <c r="I686" s="24"/>
      <c r="J686" s="24"/>
      <c r="K686" s="24"/>
      <c r="L686" s="24"/>
      <c r="M686" s="24"/>
      <c r="N686" s="24"/>
      <c r="O686" s="24"/>
      <c r="P686" s="24"/>
    </row>
    <row r="687" spans="6:16" ht="15" x14ac:dyDescent="0.25">
      <c r="F687" s="115"/>
      <c r="H687" s="24"/>
      <c r="I687" s="24"/>
      <c r="J687" s="24"/>
      <c r="K687" s="24"/>
      <c r="L687" s="24"/>
      <c r="M687" s="24"/>
      <c r="N687" s="24"/>
      <c r="O687" s="24"/>
      <c r="P687" s="24"/>
    </row>
    <row r="688" spans="6:16" ht="15" x14ac:dyDescent="0.25">
      <c r="F688" s="115"/>
      <c r="H688" s="24"/>
      <c r="I688" s="24"/>
      <c r="J688" s="24"/>
      <c r="K688" s="24"/>
      <c r="L688" s="24"/>
      <c r="M688" s="24"/>
      <c r="N688" s="24"/>
      <c r="O688" s="24"/>
      <c r="P688" s="24"/>
    </row>
    <row r="689" spans="6:16" ht="15" x14ac:dyDescent="0.25">
      <c r="F689" s="115"/>
      <c r="H689" s="24"/>
      <c r="I689" s="24"/>
      <c r="J689" s="24"/>
      <c r="K689" s="24"/>
      <c r="L689" s="24"/>
      <c r="M689" s="24"/>
      <c r="N689" s="24"/>
      <c r="O689" s="24"/>
      <c r="P689" s="24"/>
    </row>
    <row r="690" spans="6:16" ht="15" x14ac:dyDescent="0.25">
      <c r="F690" s="115"/>
      <c r="H690" s="24"/>
      <c r="I690" s="24"/>
      <c r="J690" s="24"/>
      <c r="K690" s="24"/>
      <c r="L690" s="24"/>
      <c r="M690" s="24"/>
      <c r="N690" s="24"/>
      <c r="O690" s="24"/>
      <c r="P690" s="24"/>
    </row>
    <row r="691" spans="6:16" ht="15" x14ac:dyDescent="0.25">
      <c r="F691" s="115"/>
      <c r="H691" s="24"/>
      <c r="I691" s="24"/>
      <c r="J691" s="24"/>
      <c r="K691" s="24"/>
      <c r="L691" s="24"/>
      <c r="M691" s="24"/>
      <c r="N691" s="24"/>
      <c r="O691" s="24"/>
      <c r="P691" s="24"/>
    </row>
    <row r="692" spans="6:16" ht="15" x14ac:dyDescent="0.25">
      <c r="F692" s="115"/>
      <c r="H692" s="24"/>
      <c r="I692" s="24"/>
      <c r="J692" s="24"/>
      <c r="K692" s="24"/>
      <c r="L692" s="24"/>
      <c r="M692" s="24"/>
      <c r="N692" s="24"/>
      <c r="O692" s="24"/>
      <c r="P692" s="24"/>
    </row>
    <row r="693" spans="6:16" ht="15" x14ac:dyDescent="0.25">
      <c r="F693" s="115"/>
      <c r="H693" s="24"/>
      <c r="I693" s="24"/>
      <c r="J693" s="24"/>
      <c r="K693" s="24"/>
      <c r="L693" s="24"/>
      <c r="M693" s="24"/>
      <c r="N693" s="24"/>
      <c r="O693" s="24"/>
      <c r="P693" s="24"/>
    </row>
    <row r="694" spans="6:16" ht="15" x14ac:dyDescent="0.25">
      <c r="F694" s="115"/>
      <c r="H694" s="24"/>
      <c r="I694" s="24"/>
      <c r="J694" s="24"/>
      <c r="K694" s="24"/>
      <c r="L694" s="24"/>
      <c r="M694" s="24"/>
      <c r="N694" s="24"/>
      <c r="O694" s="24"/>
      <c r="P694" s="24"/>
    </row>
    <row r="695" spans="6:16" ht="15" x14ac:dyDescent="0.25">
      <c r="F695" s="115"/>
      <c r="H695" s="24"/>
      <c r="I695" s="24"/>
      <c r="J695" s="24"/>
      <c r="K695" s="24"/>
      <c r="L695" s="24"/>
      <c r="M695" s="24"/>
      <c r="N695" s="24"/>
      <c r="O695" s="24"/>
      <c r="P695" s="24"/>
    </row>
    <row r="696" spans="6:16" ht="15" x14ac:dyDescent="0.25">
      <c r="F696" s="115"/>
      <c r="H696" s="24"/>
      <c r="I696" s="24"/>
      <c r="J696" s="24"/>
      <c r="K696" s="24"/>
      <c r="L696" s="24"/>
      <c r="M696" s="24"/>
      <c r="N696" s="24"/>
      <c r="O696" s="24"/>
      <c r="P696" s="24"/>
    </row>
    <row r="697" spans="6:16" ht="15" x14ac:dyDescent="0.25">
      <c r="F697" s="115"/>
      <c r="H697" s="24"/>
      <c r="I697" s="24"/>
      <c r="J697" s="24"/>
      <c r="K697" s="24"/>
      <c r="L697" s="24"/>
      <c r="M697" s="24"/>
      <c r="N697" s="24"/>
      <c r="O697" s="24"/>
      <c r="P697" s="24"/>
    </row>
    <row r="698" spans="6:16" ht="15" x14ac:dyDescent="0.25">
      <c r="F698" s="115"/>
      <c r="H698" s="24"/>
      <c r="I698" s="24"/>
      <c r="J698" s="24"/>
      <c r="K698" s="24"/>
      <c r="L698" s="24"/>
      <c r="M698" s="24"/>
      <c r="N698" s="24"/>
      <c r="O698" s="24"/>
      <c r="P698" s="24"/>
    </row>
    <row r="699" spans="6:16" ht="15" x14ac:dyDescent="0.25">
      <c r="F699" s="115"/>
      <c r="H699" s="24"/>
      <c r="I699" s="24"/>
      <c r="J699" s="24"/>
      <c r="K699" s="24"/>
      <c r="L699" s="24"/>
      <c r="M699" s="24"/>
      <c r="N699" s="24"/>
      <c r="O699" s="24"/>
      <c r="P699" s="24"/>
    </row>
    <row r="700" spans="6:16" ht="15" x14ac:dyDescent="0.25">
      <c r="F700" s="115"/>
      <c r="H700" s="24"/>
      <c r="I700" s="24"/>
      <c r="J700" s="24"/>
      <c r="K700" s="24"/>
      <c r="L700" s="24"/>
      <c r="M700" s="24"/>
      <c r="N700" s="24"/>
      <c r="O700" s="24"/>
      <c r="P700" s="24"/>
    </row>
    <row r="701" spans="6:16" ht="15" x14ac:dyDescent="0.25">
      <c r="F701" s="115"/>
      <c r="H701" s="24"/>
      <c r="I701" s="24"/>
      <c r="J701" s="24"/>
      <c r="K701" s="24"/>
      <c r="L701" s="24"/>
      <c r="M701" s="24"/>
      <c r="N701" s="24"/>
      <c r="O701" s="24"/>
      <c r="P701" s="24"/>
    </row>
    <row r="702" spans="6:16" ht="15" x14ac:dyDescent="0.25">
      <c r="F702" s="115"/>
      <c r="H702" s="24"/>
      <c r="I702" s="24"/>
      <c r="J702" s="24"/>
      <c r="K702" s="24"/>
      <c r="L702" s="24"/>
      <c r="M702" s="24"/>
      <c r="N702" s="24"/>
      <c r="O702" s="24"/>
      <c r="P702" s="24"/>
    </row>
    <row r="703" spans="6:16" ht="15" x14ac:dyDescent="0.25">
      <c r="F703" s="115"/>
      <c r="H703" s="24"/>
      <c r="I703" s="24"/>
      <c r="J703" s="24"/>
      <c r="K703" s="24"/>
      <c r="L703" s="24"/>
      <c r="M703" s="24"/>
      <c r="N703" s="24"/>
      <c r="O703" s="24"/>
      <c r="P703" s="24"/>
    </row>
    <row r="704" spans="6:16" ht="15" x14ac:dyDescent="0.25">
      <c r="F704" s="115"/>
      <c r="H704" s="24"/>
      <c r="I704" s="24"/>
      <c r="J704" s="24"/>
      <c r="K704" s="24"/>
      <c r="L704" s="24"/>
      <c r="M704" s="24"/>
      <c r="N704" s="24"/>
      <c r="O704" s="24"/>
      <c r="P704" s="24"/>
    </row>
    <row r="705" spans="6:16" ht="15" x14ac:dyDescent="0.25">
      <c r="F705" s="115"/>
      <c r="H705" s="24"/>
      <c r="I705" s="24"/>
      <c r="J705" s="24"/>
      <c r="K705" s="24"/>
      <c r="L705" s="24"/>
      <c r="M705" s="24"/>
      <c r="N705" s="24"/>
      <c r="O705" s="24"/>
      <c r="P705" s="24"/>
    </row>
    <row r="706" spans="6:16" ht="15" x14ac:dyDescent="0.25">
      <c r="F706" s="115"/>
      <c r="H706" s="24"/>
      <c r="I706" s="24"/>
      <c r="J706" s="24"/>
      <c r="K706" s="24"/>
      <c r="L706" s="24"/>
      <c r="M706" s="24"/>
      <c r="N706" s="24"/>
      <c r="O706" s="24"/>
      <c r="P706" s="24"/>
    </row>
    <row r="707" spans="6:16" ht="15" x14ac:dyDescent="0.25">
      <c r="F707" s="115"/>
      <c r="H707" s="24"/>
      <c r="I707" s="24"/>
      <c r="J707" s="24"/>
      <c r="K707" s="24"/>
      <c r="L707" s="24"/>
      <c r="M707" s="24"/>
      <c r="N707" s="24"/>
      <c r="O707" s="24"/>
      <c r="P707" s="24"/>
    </row>
    <row r="708" spans="6:16" ht="15" x14ac:dyDescent="0.25">
      <c r="F708" s="115"/>
      <c r="H708" s="24"/>
      <c r="I708" s="24"/>
      <c r="J708" s="24"/>
      <c r="K708" s="24"/>
      <c r="L708" s="24"/>
      <c r="M708" s="24"/>
      <c r="N708" s="24"/>
      <c r="O708" s="24"/>
      <c r="P708" s="24"/>
    </row>
    <row r="709" spans="6:16" ht="15" x14ac:dyDescent="0.25">
      <c r="F709" s="115"/>
      <c r="H709" s="24"/>
      <c r="I709" s="24"/>
      <c r="J709" s="24"/>
      <c r="K709" s="24"/>
      <c r="L709" s="24"/>
      <c r="M709" s="24"/>
      <c r="N709" s="24"/>
      <c r="O709" s="24"/>
      <c r="P709" s="24"/>
    </row>
    <row r="710" spans="6:16" ht="15" x14ac:dyDescent="0.25">
      <c r="F710" s="115"/>
      <c r="H710" s="24"/>
      <c r="I710" s="24"/>
      <c r="J710" s="24"/>
      <c r="K710" s="24"/>
      <c r="L710" s="24"/>
      <c r="M710" s="24"/>
      <c r="N710" s="24"/>
      <c r="O710" s="24"/>
      <c r="P710" s="24"/>
    </row>
    <row r="711" spans="6:16" ht="15" x14ac:dyDescent="0.25">
      <c r="F711" s="115"/>
      <c r="H711" s="24"/>
      <c r="I711" s="24"/>
      <c r="J711" s="24"/>
      <c r="K711" s="24"/>
      <c r="L711" s="24"/>
      <c r="M711" s="24"/>
      <c r="N711" s="24"/>
      <c r="O711" s="24"/>
      <c r="P711" s="24"/>
    </row>
    <row r="712" spans="6:16" ht="15" x14ac:dyDescent="0.25">
      <c r="F712" s="115"/>
      <c r="H712" s="24"/>
      <c r="I712" s="24"/>
      <c r="J712" s="24"/>
      <c r="K712" s="24"/>
      <c r="L712" s="24"/>
      <c r="M712" s="24"/>
      <c r="N712" s="24"/>
      <c r="O712" s="24"/>
      <c r="P712" s="24"/>
    </row>
    <row r="713" spans="6:16" ht="15" x14ac:dyDescent="0.25">
      <c r="F713" s="115"/>
      <c r="H713" s="24"/>
      <c r="I713" s="24"/>
      <c r="J713" s="24"/>
      <c r="K713" s="24"/>
      <c r="L713" s="24"/>
      <c r="M713" s="24"/>
      <c r="N713" s="24"/>
      <c r="O713" s="24"/>
      <c r="P713" s="24"/>
    </row>
    <row r="714" spans="6:16" ht="15" x14ac:dyDescent="0.25">
      <c r="F714" s="115"/>
      <c r="H714" s="24"/>
      <c r="I714" s="24"/>
      <c r="J714" s="24"/>
      <c r="K714" s="24"/>
      <c r="L714" s="24"/>
      <c r="M714" s="24"/>
      <c r="N714" s="24"/>
      <c r="O714" s="24"/>
      <c r="P714" s="24"/>
    </row>
    <row r="715" spans="6:16" ht="15" x14ac:dyDescent="0.25">
      <c r="F715" s="115"/>
      <c r="H715" s="24"/>
      <c r="I715" s="24"/>
      <c r="J715" s="24"/>
      <c r="K715" s="24"/>
      <c r="L715" s="24"/>
      <c r="M715" s="24"/>
      <c r="N715" s="24"/>
      <c r="O715" s="24"/>
      <c r="P715" s="24"/>
    </row>
    <row r="716" spans="6:16" ht="15" x14ac:dyDescent="0.25">
      <c r="F716" s="115"/>
      <c r="H716" s="24"/>
      <c r="I716" s="24"/>
      <c r="J716" s="24"/>
      <c r="K716" s="24"/>
      <c r="L716" s="24"/>
      <c r="M716" s="24"/>
      <c r="N716" s="24"/>
      <c r="O716" s="24"/>
      <c r="P716" s="24"/>
    </row>
    <row r="717" spans="6:16" ht="15" x14ac:dyDescent="0.25">
      <c r="F717" s="115"/>
      <c r="H717" s="24"/>
      <c r="I717" s="24"/>
      <c r="J717" s="24"/>
      <c r="K717" s="24"/>
      <c r="L717" s="24"/>
      <c r="M717" s="24"/>
      <c r="N717" s="24"/>
      <c r="O717" s="24"/>
      <c r="P717" s="24"/>
    </row>
    <row r="718" spans="6:16" ht="15" x14ac:dyDescent="0.25">
      <c r="F718" s="115"/>
      <c r="H718" s="24"/>
      <c r="I718" s="24"/>
      <c r="J718" s="24"/>
      <c r="K718" s="24"/>
      <c r="L718" s="24"/>
      <c r="M718" s="24"/>
      <c r="N718" s="24"/>
      <c r="O718" s="24"/>
      <c r="P718" s="24"/>
    </row>
    <row r="719" spans="6:16" ht="15" x14ac:dyDescent="0.25">
      <c r="F719" s="115"/>
      <c r="H719" s="24"/>
      <c r="I719" s="24"/>
      <c r="J719" s="24"/>
      <c r="K719" s="24"/>
      <c r="L719" s="24"/>
      <c r="M719" s="24"/>
      <c r="N719" s="24"/>
      <c r="O719" s="24"/>
      <c r="P719" s="24"/>
    </row>
    <row r="720" spans="6:16" ht="15" x14ac:dyDescent="0.25">
      <c r="F720" s="115"/>
      <c r="H720" s="24"/>
      <c r="I720" s="24"/>
      <c r="J720" s="24"/>
      <c r="K720" s="24"/>
      <c r="L720" s="24"/>
      <c r="M720" s="24"/>
      <c r="N720" s="24"/>
      <c r="O720" s="24"/>
      <c r="P720" s="24"/>
    </row>
    <row r="721" spans="6:16" ht="15" x14ac:dyDescent="0.25">
      <c r="F721" s="115"/>
      <c r="H721" s="24"/>
      <c r="I721" s="24"/>
      <c r="J721" s="24"/>
      <c r="K721" s="24"/>
      <c r="L721" s="24"/>
      <c r="M721" s="24"/>
      <c r="N721" s="24"/>
      <c r="O721" s="24"/>
      <c r="P721" s="24"/>
    </row>
    <row r="722" spans="6:16" ht="15" x14ac:dyDescent="0.25">
      <c r="F722" s="115"/>
      <c r="H722" s="24"/>
      <c r="I722" s="24"/>
      <c r="J722" s="24"/>
      <c r="K722" s="24"/>
      <c r="L722" s="24"/>
      <c r="M722" s="24"/>
      <c r="N722" s="24"/>
      <c r="O722" s="24"/>
      <c r="P722" s="24"/>
    </row>
    <row r="723" spans="6:16" ht="15" x14ac:dyDescent="0.25">
      <c r="F723" s="115"/>
      <c r="H723" s="24"/>
      <c r="I723" s="24"/>
      <c r="J723" s="24"/>
      <c r="K723" s="24"/>
      <c r="L723" s="24"/>
      <c r="M723" s="24"/>
      <c r="N723" s="24"/>
      <c r="O723" s="24"/>
      <c r="P723" s="24"/>
    </row>
    <row r="724" spans="6:16" ht="15" x14ac:dyDescent="0.25">
      <c r="F724" s="115"/>
      <c r="H724" s="24"/>
      <c r="I724" s="24"/>
      <c r="J724" s="24"/>
      <c r="K724" s="24"/>
      <c r="L724" s="24"/>
      <c r="M724" s="24"/>
      <c r="N724" s="24"/>
      <c r="O724" s="24"/>
      <c r="P724" s="24"/>
    </row>
    <row r="725" spans="6:16" ht="15" x14ac:dyDescent="0.25">
      <c r="F725" s="115"/>
      <c r="H725" s="24"/>
      <c r="I725" s="24"/>
      <c r="J725" s="24"/>
      <c r="K725" s="24"/>
      <c r="L725" s="24"/>
      <c r="M725" s="24"/>
      <c r="N725" s="24"/>
      <c r="O725" s="24"/>
      <c r="P725" s="24"/>
    </row>
    <row r="726" spans="6:16" ht="15" x14ac:dyDescent="0.25">
      <c r="F726" s="115"/>
      <c r="H726" s="24"/>
      <c r="I726" s="24"/>
      <c r="J726" s="24"/>
      <c r="K726" s="24"/>
      <c r="L726" s="24"/>
      <c r="M726" s="24"/>
      <c r="N726" s="24"/>
      <c r="O726" s="24"/>
      <c r="P726" s="24"/>
    </row>
    <row r="727" spans="6:16" ht="15" x14ac:dyDescent="0.25">
      <c r="F727" s="115"/>
      <c r="H727" s="24"/>
      <c r="I727" s="24"/>
      <c r="J727" s="24"/>
      <c r="K727" s="24"/>
      <c r="L727" s="24"/>
      <c r="M727" s="24"/>
      <c r="N727" s="24"/>
      <c r="O727" s="24"/>
      <c r="P727" s="24"/>
    </row>
    <row r="728" spans="6:16" ht="15" x14ac:dyDescent="0.25">
      <c r="F728" s="115"/>
      <c r="H728" s="24"/>
      <c r="I728" s="24"/>
      <c r="J728" s="24"/>
      <c r="K728" s="24"/>
      <c r="L728" s="24"/>
      <c r="M728" s="24"/>
      <c r="N728" s="24"/>
      <c r="O728" s="24"/>
      <c r="P728" s="24"/>
    </row>
    <row r="729" spans="6:16" ht="15" x14ac:dyDescent="0.25">
      <c r="F729" s="115"/>
      <c r="H729" s="24"/>
      <c r="I729" s="24"/>
      <c r="J729" s="24"/>
      <c r="K729" s="24"/>
      <c r="L729" s="24"/>
      <c r="M729" s="24"/>
      <c r="N729" s="24"/>
      <c r="O729" s="24"/>
      <c r="P729" s="24"/>
    </row>
    <row r="730" spans="6:16" ht="15" x14ac:dyDescent="0.25">
      <c r="F730" s="115"/>
      <c r="H730" s="24"/>
      <c r="I730" s="24"/>
      <c r="J730" s="24"/>
      <c r="K730" s="24"/>
      <c r="L730" s="24"/>
      <c r="M730" s="24"/>
      <c r="N730" s="24"/>
      <c r="O730" s="24"/>
      <c r="P730" s="24"/>
    </row>
    <row r="731" spans="6:16" ht="15" x14ac:dyDescent="0.25">
      <c r="F731" s="115"/>
      <c r="H731" s="24"/>
      <c r="I731" s="24"/>
      <c r="J731" s="24"/>
      <c r="K731" s="24"/>
      <c r="L731" s="24"/>
      <c r="M731" s="24"/>
      <c r="N731" s="24"/>
      <c r="O731" s="24"/>
      <c r="P731" s="24"/>
    </row>
    <row r="732" spans="6:16" ht="15" x14ac:dyDescent="0.25">
      <c r="F732" s="115"/>
      <c r="H732" s="24"/>
      <c r="I732" s="24"/>
      <c r="J732" s="24"/>
      <c r="K732" s="24"/>
      <c r="L732" s="24"/>
      <c r="M732" s="24"/>
      <c r="N732" s="24"/>
      <c r="O732" s="24"/>
      <c r="P732" s="24"/>
    </row>
    <row r="733" spans="6:16" ht="15" x14ac:dyDescent="0.25">
      <c r="F733" s="115"/>
      <c r="H733" s="24"/>
      <c r="I733" s="24"/>
      <c r="J733" s="24"/>
      <c r="K733" s="24"/>
      <c r="L733" s="24"/>
      <c r="M733" s="24"/>
      <c r="N733" s="24"/>
      <c r="O733" s="24"/>
      <c r="P733" s="24"/>
    </row>
    <row r="734" spans="6:16" ht="15" x14ac:dyDescent="0.25">
      <c r="F734" s="115"/>
      <c r="H734" s="24"/>
      <c r="I734" s="24"/>
      <c r="J734" s="24"/>
      <c r="K734" s="24"/>
      <c r="L734" s="24"/>
      <c r="M734" s="24"/>
      <c r="N734" s="24"/>
      <c r="O734" s="24"/>
      <c r="P734" s="24"/>
    </row>
    <row r="735" spans="6:16" ht="15" x14ac:dyDescent="0.25">
      <c r="F735" s="115"/>
      <c r="H735" s="24"/>
      <c r="I735" s="24"/>
      <c r="J735" s="24"/>
      <c r="K735" s="24"/>
      <c r="L735" s="24"/>
      <c r="M735" s="24"/>
      <c r="N735" s="24"/>
      <c r="O735" s="24"/>
      <c r="P735" s="24"/>
    </row>
    <row r="736" spans="6:16" ht="15" x14ac:dyDescent="0.25">
      <c r="F736" s="115"/>
      <c r="H736" s="24"/>
      <c r="I736" s="24"/>
      <c r="J736" s="24"/>
      <c r="K736" s="24"/>
      <c r="L736" s="24"/>
      <c r="M736" s="24"/>
      <c r="N736" s="24"/>
      <c r="O736" s="24"/>
      <c r="P736" s="24"/>
    </row>
    <row r="737" spans="6:16" ht="15" x14ac:dyDescent="0.25">
      <c r="F737" s="115"/>
      <c r="H737" s="24"/>
      <c r="I737" s="24"/>
      <c r="J737" s="24"/>
      <c r="K737" s="24"/>
      <c r="L737" s="24"/>
      <c r="M737" s="24"/>
      <c r="N737" s="24"/>
      <c r="O737" s="24"/>
      <c r="P737" s="24"/>
    </row>
    <row r="738" spans="6:16" ht="15" x14ac:dyDescent="0.25">
      <c r="F738" s="115"/>
      <c r="H738" s="24"/>
      <c r="I738" s="24"/>
      <c r="J738" s="24"/>
      <c r="K738" s="24"/>
      <c r="L738" s="24"/>
      <c r="M738" s="24"/>
      <c r="N738" s="24"/>
      <c r="O738" s="24"/>
      <c r="P738" s="24"/>
    </row>
    <row r="739" spans="6:16" ht="15" x14ac:dyDescent="0.25">
      <c r="F739" s="115"/>
      <c r="H739" s="24"/>
      <c r="I739" s="24"/>
      <c r="J739" s="24"/>
      <c r="K739" s="24"/>
      <c r="L739" s="24"/>
      <c r="M739" s="24"/>
      <c r="N739" s="24"/>
      <c r="O739" s="24"/>
      <c r="P739" s="24"/>
    </row>
    <row r="740" spans="6:16" ht="15" x14ac:dyDescent="0.25">
      <c r="F740" s="115"/>
      <c r="H740" s="24"/>
      <c r="I740" s="24"/>
      <c r="J740" s="24"/>
      <c r="K740" s="24"/>
      <c r="L740" s="24"/>
      <c r="M740" s="24"/>
      <c r="N740" s="24"/>
      <c r="O740" s="24"/>
      <c r="P740" s="24"/>
    </row>
    <row r="741" spans="6:16" ht="15" x14ac:dyDescent="0.25">
      <c r="F741" s="115"/>
      <c r="H741" s="24"/>
      <c r="I741" s="24"/>
      <c r="J741" s="24"/>
      <c r="K741" s="24"/>
      <c r="L741" s="24"/>
      <c r="M741" s="24"/>
      <c r="N741" s="24"/>
      <c r="O741" s="24"/>
      <c r="P741" s="24"/>
    </row>
    <row r="742" spans="6:16" ht="15" x14ac:dyDescent="0.25">
      <c r="F742" s="115"/>
      <c r="H742" s="24"/>
      <c r="I742" s="24"/>
      <c r="J742" s="24"/>
      <c r="K742" s="24"/>
      <c r="L742" s="24"/>
      <c r="M742" s="24"/>
      <c r="N742" s="24"/>
      <c r="O742" s="24"/>
      <c r="P742" s="24"/>
    </row>
    <row r="743" spans="6:16" ht="15" x14ac:dyDescent="0.25">
      <c r="F743" s="115"/>
      <c r="H743" s="24"/>
      <c r="I743" s="24"/>
      <c r="J743" s="24"/>
      <c r="K743" s="24"/>
      <c r="L743" s="24"/>
      <c r="M743" s="24"/>
      <c r="N743" s="24"/>
      <c r="O743" s="24"/>
      <c r="P743" s="24"/>
    </row>
    <row r="744" spans="6:16" ht="15" x14ac:dyDescent="0.25">
      <c r="F744" s="115"/>
      <c r="H744" s="24"/>
      <c r="I744" s="24"/>
      <c r="J744" s="24"/>
      <c r="K744" s="24"/>
      <c r="L744" s="24"/>
      <c r="M744" s="24"/>
      <c r="N744" s="24"/>
      <c r="O744" s="24"/>
      <c r="P744" s="24"/>
    </row>
    <row r="745" spans="6:16" ht="15" x14ac:dyDescent="0.25">
      <c r="F745" s="115"/>
      <c r="H745" s="24"/>
      <c r="I745" s="24"/>
      <c r="J745" s="24"/>
      <c r="K745" s="24"/>
      <c r="L745" s="24"/>
      <c r="M745" s="24"/>
      <c r="N745" s="24"/>
      <c r="O745" s="24"/>
      <c r="P745" s="24"/>
    </row>
    <row r="746" spans="6:16" ht="15" x14ac:dyDescent="0.25">
      <c r="F746" s="115"/>
      <c r="H746" s="24"/>
      <c r="I746" s="24"/>
      <c r="J746" s="24"/>
      <c r="K746" s="24"/>
      <c r="L746" s="24"/>
      <c r="M746" s="24"/>
      <c r="N746" s="24"/>
      <c r="O746" s="24"/>
      <c r="P746" s="24"/>
    </row>
    <row r="747" spans="6:16" ht="15" x14ac:dyDescent="0.25">
      <c r="F747" s="115"/>
      <c r="H747" s="24"/>
      <c r="I747" s="24"/>
      <c r="J747" s="24"/>
      <c r="K747" s="24"/>
      <c r="L747" s="24"/>
      <c r="M747" s="24"/>
      <c r="N747" s="24"/>
      <c r="O747" s="24"/>
      <c r="P747" s="24"/>
    </row>
    <row r="748" spans="6:16" ht="15" x14ac:dyDescent="0.25">
      <c r="F748" s="115"/>
      <c r="H748" s="24"/>
      <c r="I748" s="24"/>
      <c r="J748" s="24"/>
      <c r="K748" s="24"/>
      <c r="L748" s="24"/>
      <c r="M748" s="24"/>
      <c r="N748" s="24"/>
      <c r="O748" s="24"/>
      <c r="P748" s="24"/>
    </row>
    <row r="749" spans="6:16" ht="15" x14ac:dyDescent="0.25">
      <c r="F749" s="115"/>
      <c r="H749" s="24"/>
      <c r="I749" s="24"/>
      <c r="J749" s="24"/>
      <c r="K749" s="24"/>
      <c r="L749" s="24"/>
      <c r="M749" s="24"/>
      <c r="N749" s="24"/>
      <c r="O749" s="24"/>
      <c r="P749" s="24"/>
    </row>
    <row r="750" spans="6:16" ht="15" x14ac:dyDescent="0.25">
      <c r="F750" s="115"/>
      <c r="H750" s="24"/>
      <c r="I750" s="24"/>
      <c r="J750" s="24"/>
      <c r="K750" s="24"/>
      <c r="L750" s="24"/>
      <c r="M750" s="24"/>
      <c r="N750" s="24"/>
      <c r="O750" s="24"/>
      <c r="P750" s="24"/>
    </row>
    <row r="751" spans="6:16" ht="15" x14ac:dyDescent="0.25">
      <c r="F751" s="115"/>
      <c r="H751" s="24"/>
      <c r="I751" s="24"/>
      <c r="J751" s="24"/>
      <c r="K751" s="24"/>
      <c r="L751" s="24"/>
      <c r="M751" s="24"/>
      <c r="N751" s="24"/>
      <c r="O751" s="24"/>
      <c r="P751" s="24"/>
    </row>
    <row r="752" spans="6:16" ht="15" x14ac:dyDescent="0.25">
      <c r="F752" s="115"/>
      <c r="H752" s="24"/>
      <c r="I752" s="24"/>
      <c r="J752" s="24"/>
      <c r="K752" s="24"/>
      <c r="L752" s="24"/>
      <c r="M752" s="24"/>
      <c r="N752" s="24"/>
      <c r="O752" s="24"/>
      <c r="P752" s="24"/>
    </row>
    <row r="753" spans="6:16" ht="15" x14ac:dyDescent="0.25">
      <c r="F753" s="115"/>
      <c r="H753" s="24"/>
      <c r="I753" s="24"/>
      <c r="J753" s="24"/>
      <c r="K753" s="24"/>
      <c r="L753" s="24"/>
      <c r="M753" s="24"/>
      <c r="N753" s="24"/>
      <c r="O753" s="24"/>
      <c r="P753" s="24"/>
    </row>
    <row r="754" spans="6:16" ht="15" x14ac:dyDescent="0.25">
      <c r="F754" s="115"/>
      <c r="H754" s="24"/>
      <c r="I754" s="24"/>
      <c r="J754" s="24"/>
      <c r="K754" s="24"/>
      <c r="L754" s="24"/>
      <c r="M754" s="24"/>
      <c r="N754" s="24"/>
      <c r="O754" s="24"/>
      <c r="P754" s="24"/>
    </row>
    <row r="755" spans="6:16" ht="15" x14ac:dyDescent="0.25">
      <c r="F755" s="115"/>
      <c r="H755" s="24"/>
      <c r="I755" s="24"/>
      <c r="J755" s="24"/>
      <c r="K755" s="24"/>
      <c r="L755" s="24"/>
      <c r="M755" s="24"/>
      <c r="N755" s="24"/>
      <c r="O755" s="24"/>
      <c r="P755" s="24"/>
    </row>
    <row r="756" spans="6:16" ht="15" x14ac:dyDescent="0.25">
      <c r="F756" s="115"/>
      <c r="H756" s="24"/>
      <c r="I756" s="24"/>
      <c r="J756" s="24"/>
      <c r="K756" s="24"/>
      <c r="L756" s="24"/>
      <c r="M756" s="24"/>
      <c r="N756" s="24"/>
      <c r="O756" s="24"/>
      <c r="P756" s="24"/>
    </row>
    <row r="757" spans="6:16" ht="15" x14ac:dyDescent="0.25">
      <c r="F757" s="115"/>
      <c r="H757" s="24"/>
      <c r="I757" s="24"/>
      <c r="J757" s="24"/>
      <c r="K757" s="24"/>
      <c r="L757" s="24"/>
      <c r="M757" s="24"/>
      <c r="N757" s="24"/>
      <c r="O757" s="24"/>
      <c r="P757" s="24"/>
    </row>
    <row r="758" spans="6:16" ht="15" x14ac:dyDescent="0.25">
      <c r="F758" s="115"/>
      <c r="H758" s="24"/>
      <c r="I758" s="24"/>
      <c r="J758" s="24"/>
      <c r="K758" s="24"/>
      <c r="L758" s="24"/>
      <c r="M758" s="24"/>
      <c r="N758" s="24"/>
      <c r="O758" s="24"/>
      <c r="P758" s="24"/>
    </row>
    <row r="759" spans="6:16" ht="15" x14ac:dyDescent="0.25">
      <c r="F759" s="115"/>
      <c r="H759" s="24"/>
      <c r="I759" s="24"/>
      <c r="J759" s="24"/>
      <c r="K759" s="24"/>
      <c r="L759" s="24"/>
      <c r="M759" s="24"/>
      <c r="N759" s="24"/>
      <c r="O759" s="24"/>
      <c r="P759" s="24"/>
    </row>
    <row r="760" spans="6:16" ht="15" x14ac:dyDescent="0.25">
      <c r="F760" s="115"/>
      <c r="H760" s="24"/>
      <c r="I760" s="24"/>
      <c r="J760" s="24"/>
      <c r="K760" s="24"/>
      <c r="L760" s="24"/>
      <c r="M760" s="24"/>
      <c r="N760" s="24"/>
      <c r="O760" s="24"/>
      <c r="P760" s="24"/>
    </row>
    <row r="761" spans="6:16" ht="15" x14ac:dyDescent="0.25">
      <c r="F761" s="115"/>
      <c r="H761" s="24"/>
      <c r="I761" s="24"/>
      <c r="J761" s="24"/>
      <c r="K761" s="24"/>
      <c r="L761" s="24"/>
      <c r="M761" s="24"/>
      <c r="N761" s="24"/>
      <c r="O761" s="24"/>
      <c r="P761" s="24"/>
    </row>
    <row r="762" spans="6:16" ht="15" x14ac:dyDescent="0.25">
      <c r="F762" s="115"/>
      <c r="H762" s="24"/>
      <c r="I762" s="24"/>
      <c r="J762" s="24"/>
      <c r="K762" s="24"/>
      <c r="L762" s="24"/>
      <c r="M762" s="24"/>
      <c r="N762" s="24"/>
      <c r="O762" s="24"/>
      <c r="P762" s="24"/>
    </row>
    <row r="763" spans="6:16" ht="15" x14ac:dyDescent="0.25">
      <c r="F763" s="115"/>
      <c r="H763" s="24"/>
      <c r="I763" s="24"/>
      <c r="J763" s="24"/>
      <c r="K763" s="24"/>
      <c r="L763" s="24"/>
      <c r="M763" s="24"/>
      <c r="N763" s="24"/>
      <c r="O763" s="24"/>
      <c r="P763" s="24"/>
    </row>
    <row r="764" spans="6:16" ht="15" x14ac:dyDescent="0.25">
      <c r="F764" s="115"/>
      <c r="H764" s="24"/>
      <c r="I764" s="24"/>
      <c r="J764" s="24"/>
      <c r="K764" s="24"/>
      <c r="L764" s="24"/>
      <c r="M764" s="24"/>
      <c r="N764" s="24"/>
      <c r="O764" s="24"/>
      <c r="P764" s="24"/>
    </row>
    <row r="765" spans="6:16" ht="15" x14ac:dyDescent="0.25">
      <c r="F765" s="115"/>
      <c r="H765" s="24"/>
      <c r="I765" s="24"/>
      <c r="J765" s="24"/>
      <c r="K765" s="24"/>
      <c r="L765" s="24"/>
      <c r="M765" s="24"/>
      <c r="N765" s="24"/>
      <c r="O765" s="24"/>
      <c r="P765" s="24"/>
    </row>
    <row r="766" spans="6:16" ht="15" x14ac:dyDescent="0.25">
      <c r="F766" s="115"/>
      <c r="H766" s="24"/>
      <c r="I766" s="24"/>
      <c r="J766" s="24"/>
      <c r="K766" s="24"/>
      <c r="L766" s="24"/>
      <c r="M766" s="24"/>
      <c r="N766" s="24"/>
      <c r="O766" s="24"/>
      <c r="P766" s="24"/>
    </row>
    <row r="767" spans="6:16" ht="15" x14ac:dyDescent="0.25">
      <c r="F767" s="115"/>
      <c r="H767" s="24"/>
      <c r="I767" s="24"/>
      <c r="J767" s="24"/>
      <c r="K767" s="24"/>
      <c r="L767" s="24"/>
      <c r="M767" s="24"/>
      <c r="N767" s="24"/>
      <c r="O767" s="24"/>
      <c r="P767" s="24"/>
    </row>
    <row r="768" spans="6:16" ht="15" x14ac:dyDescent="0.25">
      <c r="F768" s="115"/>
      <c r="H768" s="24"/>
      <c r="I768" s="24"/>
      <c r="J768" s="24"/>
      <c r="K768" s="24"/>
      <c r="L768" s="24"/>
      <c r="M768" s="24"/>
      <c r="N768" s="24"/>
      <c r="O768" s="24"/>
      <c r="P768" s="24"/>
    </row>
    <row r="769" spans="1:16" ht="15" x14ac:dyDescent="0.25">
      <c r="F769" s="115"/>
      <c r="H769" s="24"/>
      <c r="I769" s="24"/>
      <c r="J769" s="24"/>
      <c r="K769" s="24"/>
      <c r="L769" s="24"/>
      <c r="M769" s="24"/>
      <c r="N769" s="24"/>
      <c r="O769" s="24"/>
      <c r="P769" s="24"/>
    </row>
    <row r="770" spans="1:16" ht="15" x14ac:dyDescent="0.25">
      <c r="F770" s="115"/>
      <c r="H770" s="24"/>
      <c r="I770" s="24"/>
      <c r="J770" s="24"/>
      <c r="K770" s="24"/>
      <c r="L770" s="24"/>
      <c r="M770" s="24"/>
      <c r="N770" s="24"/>
      <c r="O770" s="24"/>
      <c r="P770" s="24"/>
    </row>
    <row r="771" spans="1:16" ht="15" x14ac:dyDescent="0.25">
      <c r="F771" s="115"/>
      <c r="H771" s="24"/>
      <c r="I771" s="24"/>
      <c r="J771" s="24"/>
      <c r="K771" s="24"/>
      <c r="L771" s="24"/>
      <c r="M771" s="24"/>
      <c r="N771" s="24"/>
      <c r="O771" s="24"/>
      <c r="P771" s="24"/>
    </row>
    <row r="772" spans="1:16" ht="15" x14ac:dyDescent="0.25">
      <c r="F772" s="115"/>
      <c r="H772" s="24"/>
      <c r="I772" s="24"/>
      <c r="J772" s="24"/>
      <c r="K772" s="24"/>
      <c r="L772" s="24"/>
      <c r="M772" s="24"/>
      <c r="N772" s="24"/>
      <c r="O772" s="24"/>
      <c r="P772" s="24"/>
    </row>
    <row r="773" spans="1:16" ht="15" x14ac:dyDescent="0.25">
      <c r="F773" s="115"/>
      <c r="H773" s="24"/>
      <c r="I773" s="24"/>
      <c r="J773" s="24"/>
      <c r="K773" s="24"/>
      <c r="L773" s="24"/>
      <c r="M773" s="24"/>
      <c r="N773" s="24"/>
      <c r="O773" s="24"/>
      <c r="P773" s="24"/>
    </row>
    <row r="774" spans="1:16" ht="15" x14ac:dyDescent="0.25">
      <c r="A774" s="128"/>
      <c r="B774" s="129"/>
      <c r="C774" s="130"/>
      <c r="D774" s="131"/>
      <c r="E774" s="130"/>
      <c r="F774" s="127"/>
      <c r="G774" s="130"/>
      <c r="H774" s="24"/>
      <c r="I774" s="24"/>
      <c r="J774" s="24"/>
      <c r="K774" s="24"/>
      <c r="L774" s="24"/>
      <c r="M774" s="24"/>
      <c r="N774" s="24"/>
      <c r="O774" s="24"/>
      <c r="P774" s="24"/>
    </row>
    <row r="775" spans="1:16" ht="15" x14ac:dyDescent="0.25">
      <c r="F775" s="115"/>
      <c r="H775" s="24"/>
      <c r="I775" s="24"/>
      <c r="J775" s="24"/>
      <c r="K775" s="24"/>
      <c r="L775" s="24"/>
      <c r="M775" s="24"/>
      <c r="N775" s="24"/>
      <c r="O775" s="24"/>
      <c r="P775" s="24"/>
    </row>
    <row r="776" spans="1:16" ht="15" x14ac:dyDescent="0.25">
      <c r="F776" s="115"/>
      <c r="H776" s="24"/>
      <c r="I776" s="24"/>
      <c r="J776" s="24"/>
      <c r="K776" s="24"/>
      <c r="L776" s="24"/>
      <c r="M776" s="24"/>
      <c r="N776" s="24"/>
      <c r="O776" s="24"/>
      <c r="P776" s="24"/>
    </row>
    <row r="777" spans="1:16" ht="15" x14ac:dyDescent="0.25">
      <c r="F777" s="115"/>
      <c r="H777" s="24"/>
      <c r="I777" s="24"/>
      <c r="J777" s="24"/>
      <c r="K777" s="24"/>
      <c r="L777" s="24"/>
      <c r="M777" s="24"/>
      <c r="N777" s="24"/>
      <c r="O777" s="24"/>
      <c r="P777" s="24"/>
    </row>
    <row r="778" spans="1:16" ht="15" x14ac:dyDescent="0.25">
      <c r="F778" s="115"/>
      <c r="H778" s="24"/>
      <c r="I778" s="24"/>
      <c r="J778" s="24"/>
      <c r="K778" s="24"/>
      <c r="L778" s="24"/>
      <c r="M778" s="24"/>
      <c r="N778" s="24"/>
      <c r="O778" s="24"/>
      <c r="P778" s="24"/>
    </row>
    <row r="779" spans="1:16" ht="15" x14ac:dyDescent="0.25">
      <c r="F779" s="115"/>
      <c r="H779" s="24"/>
      <c r="I779" s="24"/>
      <c r="J779" s="24"/>
      <c r="K779" s="24"/>
      <c r="L779" s="24"/>
      <c r="M779" s="24"/>
      <c r="N779" s="24"/>
      <c r="O779" s="24"/>
      <c r="P779" s="24"/>
    </row>
    <row r="780" spans="1:16" ht="15" x14ac:dyDescent="0.25">
      <c r="F780" s="115"/>
      <c r="H780" s="24"/>
      <c r="I780" s="24"/>
      <c r="J780" s="24"/>
      <c r="K780" s="24"/>
      <c r="L780" s="24"/>
      <c r="M780" s="24"/>
      <c r="N780" s="24"/>
      <c r="O780" s="24"/>
      <c r="P780" s="24"/>
    </row>
    <row r="781" spans="1:16" ht="15" x14ac:dyDescent="0.25">
      <c r="F781" s="115"/>
      <c r="H781" s="24"/>
      <c r="I781" s="24"/>
      <c r="J781" s="24"/>
      <c r="K781" s="24"/>
      <c r="L781" s="24"/>
      <c r="M781" s="24"/>
      <c r="N781" s="24"/>
      <c r="O781" s="24"/>
      <c r="P781" s="24"/>
    </row>
    <row r="782" spans="1:16" ht="15" x14ac:dyDescent="0.25">
      <c r="F782" s="115"/>
      <c r="H782" s="24"/>
      <c r="I782" s="24"/>
      <c r="J782" s="24"/>
      <c r="K782" s="24"/>
      <c r="L782" s="24"/>
      <c r="M782" s="24"/>
      <c r="N782" s="24"/>
      <c r="O782" s="24"/>
      <c r="P782" s="24"/>
    </row>
    <row r="783" spans="1:16" ht="15" x14ac:dyDescent="0.25">
      <c r="F783" s="115"/>
      <c r="H783" s="24"/>
      <c r="I783" s="24"/>
      <c r="J783" s="24"/>
      <c r="K783" s="24"/>
      <c r="L783" s="24"/>
      <c r="M783" s="24"/>
      <c r="N783" s="24"/>
      <c r="O783" s="24"/>
      <c r="P783" s="24"/>
    </row>
    <row r="784" spans="1:16" ht="15" x14ac:dyDescent="0.25">
      <c r="F784" s="115"/>
      <c r="H784" s="24"/>
      <c r="I784" s="24"/>
      <c r="J784" s="24"/>
      <c r="K784" s="24"/>
      <c r="L784" s="24"/>
      <c r="M784" s="24"/>
      <c r="N784" s="24"/>
      <c r="O784" s="24"/>
      <c r="P784" s="24"/>
    </row>
    <row r="785" spans="6:16" ht="15" x14ac:dyDescent="0.25">
      <c r="F785" s="115"/>
      <c r="H785" s="24"/>
      <c r="I785" s="24"/>
      <c r="J785" s="24"/>
      <c r="K785" s="24"/>
      <c r="L785" s="24"/>
      <c r="M785" s="24"/>
      <c r="N785" s="24"/>
      <c r="O785" s="24"/>
      <c r="P785" s="24"/>
    </row>
    <row r="786" spans="6:16" ht="15" x14ac:dyDescent="0.25">
      <c r="F786" s="115"/>
      <c r="H786" s="24"/>
      <c r="I786" s="24"/>
      <c r="J786" s="24"/>
      <c r="K786" s="24"/>
      <c r="L786" s="24"/>
      <c r="M786" s="24"/>
      <c r="N786" s="24"/>
      <c r="O786" s="24"/>
      <c r="P786" s="24"/>
    </row>
    <row r="787" spans="6:16" ht="15" x14ac:dyDescent="0.25">
      <c r="F787" s="115"/>
      <c r="H787" s="24"/>
      <c r="I787" s="24"/>
      <c r="J787" s="24"/>
      <c r="K787" s="24"/>
      <c r="L787" s="24"/>
      <c r="M787" s="24"/>
      <c r="N787" s="24"/>
      <c r="O787" s="24"/>
      <c r="P787" s="24"/>
    </row>
    <row r="788" spans="6:16" ht="15" x14ac:dyDescent="0.25">
      <c r="F788" s="115"/>
      <c r="H788" s="24"/>
      <c r="I788" s="24"/>
      <c r="J788" s="24"/>
      <c r="K788" s="24"/>
      <c r="L788" s="24"/>
      <c r="M788" s="24"/>
      <c r="N788" s="24"/>
      <c r="O788" s="24"/>
      <c r="P788" s="24"/>
    </row>
    <row r="789" spans="6:16" ht="15" x14ac:dyDescent="0.25">
      <c r="F789" s="115"/>
      <c r="H789" s="24"/>
      <c r="I789" s="24"/>
      <c r="J789" s="24"/>
      <c r="K789" s="24"/>
      <c r="L789" s="24"/>
      <c r="M789" s="24"/>
      <c r="N789" s="24"/>
      <c r="O789" s="24"/>
      <c r="P789" s="24"/>
    </row>
    <row r="790" spans="6:16" ht="15" x14ac:dyDescent="0.25">
      <c r="F790" s="115"/>
      <c r="H790" s="24"/>
      <c r="I790" s="24"/>
      <c r="J790" s="24"/>
      <c r="K790" s="24"/>
      <c r="L790" s="24"/>
      <c r="M790" s="24"/>
      <c r="N790" s="24"/>
      <c r="O790" s="24"/>
      <c r="P790" s="24"/>
    </row>
    <row r="791" spans="6:16" ht="15" x14ac:dyDescent="0.25">
      <c r="F791" s="115"/>
      <c r="H791" s="24"/>
      <c r="I791" s="24"/>
      <c r="J791" s="24"/>
      <c r="K791" s="24"/>
      <c r="L791" s="24"/>
      <c r="M791" s="24"/>
      <c r="N791" s="24"/>
      <c r="O791" s="24"/>
      <c r="P791" s="24"/>
    </row>
    <row r="792" spans="6:16" ht="15" x14ac:dyDescent="0.25">
      <c r="F792" s="115"/>
      <c r="H792" s="24"/>
      <c r="I792" s="24"/>
      <c r="J792" s="24"/>
      <c r="K792" s="24"/>
      <c r="L792" s="24"/>
      <c r="M792" s="24"/>
      <c r="N792" s="24"/>
      <c r="O792" s="24"/>
      <c r="P792" s="24"/>
    </row>
    <row r="793" spans="6:16" ht="15" x14ac:dyDescent="0.25">
      <c r="F793" s="115"/>
      <c r="H793" s="24"/>
      <c r="I793" s="24"/>
      <c r="J793" s="24"/>
      <c r="K793" s="24"/>
      <c r="L793" s="24"/>
      <c r="M793" s="24"/>
      <c r="N793" s="24"/>
      <c r="O793" s="24"/>
      <c r="P793" s="24"/>
    </row>
    <row r="794" spans="6:16" ht="15" x14ac:dyDescent="0.25">
      <c r="F794" s="115"/>
      <c r="H794" s="24"/>
      <c r="I794" s="24"/>
      <c r="J794" s="24"/>
      <c r="K794" s="24"/>
      <c r="L794" s="24"/>
      <c r="M794" s="24"/>
      <c r="N794" s="24"/>
      <c r="O794" s="24"/>
      <c r="P794" s="24"/>
    </row>
    <row r="795" spans="6:16" ht="15" x14ac:dyDescent="0.25">
      <c r="F795" s="115"/>
      <c r="H795" s="24"/>
      <c r="I795" s="24"/>
      <c r="J795" s="24"/>
      <c r="K795" s="24"/>
      <c r="L795" s="24"/>
      <c r="M795" s="24"/>
      <c r="N795" s="24"/>
      <c r="O795" s="24"/>
      <c r="P795" s="24"/>
    </row>
    <row r="796" spans="6:16" ht="15" x14ac:dyDescent="0.25">
      <c r="F796" s="115"/>
      <c r="H796" s="24"/>
      <c r="I796" s="24"/>
      <c r="J796" s="24"/>
      <c r="K796" s="24"/>
      <c r="L796" s="24"/>
      <c r="M796" s="24"/>
      <c r="N796" s="24"/>
      <c r="O796" s="24"/>
      <c r="P796" s="24"/>
    </row>
    <row r="797" spans="6:16" ht="15" x14ac:dyDescent="0.25">
      <c r="F797" s="115"/>
      <c r="H797" s="24"/>
      <c r="I797" s="24"/>
      <c r="J797" s="24"/>
      <c r="K797" s="24"/>
      <c r="L797" s="24"/>
      <c r="M797" s="24"/>
      <c r="N797" s="24"/>
      <c r="O797" s="24"/>
      <c r="P797" s="24"/>
    </row>
    <row r="798" spans="6:16" ht="15" x14ac:dyDescent="0.25">
      <c r="F798" s="115"/>
      <c r="H798" s="24"/>
      <c r="I798" s="24"/>
      <c r="J798" s="24"/>
      <c r="K798" s="24"/>
      <c r="L798" s="24"/>
      <c r="M798" s="24"/>
      <c r="N798" s="24"/>
      <c r="O798" s="24"/>
      <c r="P798" s="24"/>
    </row>
    <row r="799" spans="6:16" ht="15" x14ac:dyDescent="0.25">
      <c r="F799" s="115"/>
      <c r="H799" s="24"/>
      <c r="I799" s="24"/>
      <c r="J799" s="24"/>
      <c r="K799" s="24"/>
      <c r="L799" s="24"/>
      <c r="M799" s="24"/>
      <c r="N799" s="24"/>
      <c r="O799" s="24"/>
      <c r="P799" s="24"/>
    </row>
    <row r="800" spans="6:16" ht="15" x14ac:dyDescent="0.25">
      <c r="F800" s="115"/>
      <c r="H800" s="24"/>
      <c r="I800" s="24"/>
      <c r="J800" s="24"/>
      <c r="K800" s="24"/>
      <c r="L800" s="24"/>
      <c r="M800" s="24"/>
      <c r="N800" s="24"/>
      <c r="O800" s="24"/>
      <c r="P800" s="24"/>
    </row>
    <row r="801" spans="6:16" ht="15" x14ac:dyDescent="0.25">
      <c r="F801" s="115"/>
      <c r="H801" s="24"/>
      <c r="I801" s="24"/>
      <c r="J801" s="24"/>
      <c r="K801" s="24"/>
      <c r="L801" s="24"/>
      <c r="M801" s="24"/>
      <c r="N801" s="24"/>
      <c r="O801" s="24"/>
      <c r="P801" s="24"/>
    </row>
    <row r="802" spans="6:16" ht="15" x14ac:dyDescent="0.25">
      <c r="F802" s="115"/>
      <c r="H802" s="24"/>
      <c r="I802" s="24"/>
      <c r="J802" s="24"/>
      <c r="K802" s="24"/>
      <c r="L802" s="24"/>
      <c r="M802" s="24"/>
      <c r="N802" s="24"/>
      <c r="O802" s="24"/>
      <c r="P802" s="24"/>
    </row>
    <row r="803" spans="6:16" ht="15" x14ac:dyDescent="0.25">
      <c r="F803" s="115"/>
      <c r="H803" s="24"/>
      <c r="I803" s="24"/>
      <c r="J803" s="24"/>
      <c r="K803" s="24"/>
      <c r="L803" s="24"/>
      <c r="M803" s="24"/>
      <c r="N803" s="24"/>
      <c r="O803" s="24"/>
      <c r="P803" s="24"/>
    </row>
    <row r="804" spans="6:16" ht="15" x14ac:dyDescent="0.25">
      <c r="F804" s="115"/>
      <c r="H804" s="24"/>
      <c r="I804" s="24"/>
      <c r="J804" s="24"/>
      <c r="K804" s="24"/>
      <c r="L804" s="24"/>
      <c r="M804" s="24"/>
      <c r="N804" s="24"/>
      <c r="O804" s="24"/>
      <c r="P804" s="24"/>
    </row>
    <row r="805" spans="6:16" ht="15" x14ac:dyDescent="0.25">
      <c r="F805" s="115"/>
      <c r="H805" s="24"/>
      <c r="I805" s="24"/>
      <c r="J805" s="24"/>
      <c r="K805" s="24"/>
      <c r="L805" s="24"/>
      <c r="M805" s="24"/>
      <c r="N805" s="24"/>
      <c r="O805" s="24"/>
      <c r="P805" s="24"/>
    </row>
    <row r="806" spans="6:16" ht="15" x14ac:dyDescent="0.25">
      <c r="F806" s="115"/>
      <c r="H806" s="24"/>
      <c r="I806" s="24"/>
      <c r="J806" s="24"/>
      <c r="K806" s="24"/>
      <c r="L806" s="24"/>
      <c r="M806" s="24"/>
      <c r="N806" s="24"/>
      <c r="O806" s="24"/>
      <c r="P806" s="24"/>
    </row>
    <row r="807" spans="6:16" ht="15" x14ac:dyDescent="0.25">
      <c r="F807" s="115"/>
      <c r="H807" s="24"/>
      <c r="I807" s="24"/>
      <c r="J807" s="24"/>
      <c r="K807" s="24"/>
      <c r="L807" s="24"/>
      <c r="M807" s="24"/>
      <c r="N807" s="24"/>
      <c r="O807" s="24"/>
      <c r="P807" s="24"/>
    </row>
    <row r="808" spans="6:16" x14ac:dyDescent="0.25">
      <c r="H808" s="24"/>
      <c r="I808" s="24"/>
      <c r="J808" s="24"/>
      <c r="K808" s="24"/>
      <c r="L808" s="24"/>
      <c r="M808" s="24"/>
      <c r="N808" s="24"/>
      <c r="O808" s="24"/>
      <c r="P808" s="24"/>
    </row>
    <row r="809" spans="6:16" x14ac:dyDescent="0.25">
      <c r="H809" s="24"/>
      <c r="I809" s="24"/>
      <c r="J809" s="24"/>
      <c r="K809" s="24"/>
      <c r="L809" s="24"/>
      <c r="M809" s="24"/>
      <c r="N809" s="24"/>
      <c r="O809" s="24"/>
      <c r="P809" s="24"/>
    </row>
    <row r="810" spans="6:16" x14ac:dyDescent="0.25">
      <c r="H810" s="24"/>
      <c r="I810" s="24"/>
      <c r="J810" s="24"/>
      <c r="K810" s="24"/>
      <c r="L810" s="24"/>
      <c r="M810" s="24"/>
      <c r="N810" s="24"/>
      <c r="O810" s="24"/>
      <c r="P810" s="24"/>
    </row>
    <row r="811" spans="6:16" x14ac:dyDescent="0.25">
      <c r="H811" s="24"/>
      <c r="I811" s="24"/>
      <c r="J811" s="24"/>
      <c r="K811" s="24"/>
      <c r="L811" s="24"/>
      <c r="M811" s="24"/>
      <c r="N811" s="24"/>
      <c r="O811" s="24"/>
      <c r="P811" s="24"/>
    </row>
    <row r="812" spans="6:16" x14ac:dyDescent="0.25">
      <c r="H812" s="24"/>
      <c r="I812" s="24"/>
      <c r="J812" s="24"/>
      <c r="K812" s="24"/>
      <c r="L812" s="24"/>
      <c r="M812" s="24"/>
      <c r="N812" s="24"/>
      <c r="O812" s="24"/>
      <c r="P812" s="24"/>
    </row>
    <row r="813" spans="6:16" x14ac:dyDescent="0.25">
      <c r="H813" s="24"/>
      <c r="I813" s="24"/>
      <c r="J813" s="24"/>
      <c r="K813" s="24"/>
      <c r="L813" s="24"/>
      <c r="M813" s="24"/>
      <c r="N813" s="24"/>
      <c r="O813" s="24"/>
      <c r="P813" s="24"/>
    </row>
    <row r="814" spans="6:16" x14ac:dyDescent="0.25">
      <c r="H814" s="24"/>
      <c r="I814" s="24"/>
      <c r="J814" s="24"/>
      <c r="K814" s="24"/>
      <c r="L814" s="24"/>
      <c r="M814" s="24"/>
      <c r="N814" s="24"/>
      <c r="O814" s="24"/>
      <c r="P814" s="24"/>
    </row>
    <row r="815" spans="6:16" x14ac:dyDescent="0.25">
      <c r="H815" s="24"/>
      <c r="I815" s="24"/>
      <c r="J815" s="24"/>
      <c r="K815" s="24"/>
      <c r="L815" s="24"/>
      <c r="M815" s="24"/>
      <c r="N815" s="24"/>
      <c r="O815" s="24"/>
      <c r="P815" s="24"/>
    </row>
    <row r="816" spans="6:16" x14ac:dyDescent="0.25">
      <c r="H816" s="24"/>
      <c r="I816" s="24"/>
      <c r="J816" s="24"/>
      <c r="K816" s="24"/>
      <c r="L816" s="24"/>
      <c r="M816" s="24"/>
      <c r="N816" s="24"/>
      <c r="O816" s="24"/>
      <c r="P816" s="24"/>
    </row>
    <row r="817" spans="8:16" x14ac:dyDescent="0.25">
      <c r="H817" s="24"/>
      <c r="I817" s="24"/>
      <c r="J817" s="24"/>
      <c r="K817" s="24"/>
      <c r="L817" s="24"/>
      <c r="M817" s="24"/>
      <c r="N817" s="24"/>
      <c r="O817" s="24"/>
      <c r="P817" s="24"/>
    </row>
    <row r="818" spans="8:16" x14ac:dyDescent="0.25">
      <c r="H818" s="24"/>
      <c r="I818" s="24"/>
      <c r="J818" s="24"/>
      <c r="K818" s="24"/>
      <c r="L818" s="24"/>
      <c r="M818" s="24"/>
      <c r="N818" s="24"/>
      <c r="O818" s="24"/>
      <c r="P818" s="24"/>
    </row>
    <row r="819" spans="8:16" x14ac:dyDescent="0.25">
      <c r="H819" s="24"/>
      <c r="I819" s="24"/>
      <c r="J819" s="24"/>
      <c r="K819" s="24"/>
      <c r="L819" s="24"/>
      <c r="M819" s="24"/>
      <c r="N819" s="24"/>
      <c r="O819" s="24"/>
      <c r="P819" s="24"/>
    </row>
    <row r="820" spans="8:16" x14ac:dyDescent="0.25">
      <c r="H820" s="24"/>
      <c r="I820" s="24"/>
      <c r="J820" s="24"/>
      <c r="K820" s="24"/>
      <c r="L820" s="24"/>
      <c r="M820" s="24"/>
      <c r="N820" s="24"/>
      <c r="O820" s="24"/>
      <c r="P820" s="24"/>
    </row>
    <row r="821" spans="8:16" x14ac:dyDescent="0.25">
      <c r="H821" s="24"/>
      <c r="I821" s="24"/>
      <c r="J821" s="24"/>
      <c r="K821" s="24"/>
      <c r="L821" s="24"/>
      <c r="M821" s="24"/>
      <c r="N821" s="24"/>
      <c r="O821" s="24"/>
      <c r="P821" s="24"/>
    </row>
    <row r="822" spans="8:16" x14ac:dyDescent="0.25">
      <c r="H822" s="24"/>
      <c r="I822" s="24"/>
      <c r="J822" s="24"/>
      <c r="K822" s="24"/>
      <c r="L822" s="24"/>
      <c r="M822" s="24"/>
      <c r="N822" s="24"/>
      <c r="O822" s="24"/>
      <c r="P822" s="24"/>
    </row>
    <row r="823" spans="8:16" x14ac:dyDescent="0.25">
      <c r="H823" s="24"/>
      <c r="I823" s="24"/>
      <c r="J823" s="24"/>
      <c r="K823" s="24"/>
      <c r="L823" s="24"/>
      <c r="M823" s="24"/>
      <c r="N823" s="24"/>
      <c r="O823" s="24"/>
      <c r="P823" s="24"/>
    </row>
    <row r="824" spans="8:16" x14ac:dyDescent="0.25">
      <c r="H824" s="24"/>
      <c r="I824" s="24"/>
      <c r="J824" s="24"/>
      <c r="K824" s="24"/>
      <c r="L824" s="24"/>
      <c r="M824" s="24"/>
      <c r="N824" s="24"/>
      <c r="O824" s="24"/>
      <c r="P824" s="24"/>
    </row>
    <row r="825" spans="8:16" x14ac:dyDescent="0.25">
      <c r="H825" s="24"/>
      <c r="I825" s="24"/>
      <c r="J825" s="24"/>
      <c r="K825" s="24"/>
      <c r="L825" s="24"/>
      <c r="M825" s="24"/>
      <c r="N825" s="24"/>
      <c r="O825" s="24"/>
      <c r="P825" s="24"/>
    </row>
    <row r="826" spans="8:16" x14ac:dyDescent="0.25">
      <c r="H826" s="24"/>
      <c r="I826" s="24"/>
      <c r="J826" s="24"/>
      <c r="K826" s="24"/>
      <c r="L826" s="24"/>
      <c r="M826" s="24"/>
      <c r="N826" s="24"/>
      <c r="O826" s="24"/>
      <c r="P826" s="24"/>
    </row>
    <row r="827" spans="8:16" x14ac:dyDescent="0.25">
      <c r="H827" s="24"/>
      <c r="I827" s="24"/>
      <c r="J827" s="24"/>
      <c r="K827" s="24"/>
      <c r="L827" s="24"/>
      <c r="M827" s="24"/>
      <c r="N827" s="24"/>
      <c r="O827" s="24"/>
      <c r="P827" s="24"/>
    </row>
    <row r="828" spans="8:16" x14ac:dyDescent="0.25">
      <c r="H828" s="24"/>
      <c r="I828" s="24"/>
      <c r="J828" s="24"/>
      <c r="K828" s="24"/>
      <c r="L828" s="24"/>
      <c r="M828" s="24"/>
      <c r="N828" s="24"/>
      <c r="O828" s="24"/>
      <c r="P828" s="24"/>
    </row>
    <row r="829" spans="8:16" x14ac:dyDescent="0.25">
      <c r="H829" s="24"/>
      <c r="I829" s="24"/>
      <c r="J829" s="24"/>
      <c r="K829" s="24"/>
      <c r="L829" s="24"/>
      <c r="M829" s="24"/>
      <c r="N829" s="24"/>
      <c r="O829" s="24"/>
      <c r="P829" s="24"/>
    </row>
    <row r="830" spans="8:16" x14ac:dyDescent="0.25">
      <c r="H830" s="24"/>
      <c r="I830" s="24"/>
      <c r="J830" s="24"/>
      <c r="K830" s="24"/>
      <c r="L830" s="24"/>
      <c r="M830" s="24"/>
      <c r="N830" s="24"/>
      <c r="O830" s="24"/>
      <c r="P830" s="24"/>
    </row>
    <row r="831" spans="8:16" x14ac:dyDescent="0.25">
      <c r="H831" s="24"/>
      <c r="I831" s="24"/>
      <c r="J831" s="24"/>
      <c r="K831" s="24"/>
      <c r="L831" s="24"/>
      <c r="M831" s="24"/>
      <c r="N831" s="24"/>
      <c r="O831" s="24"/>
      <c r="P831" s="24"/>
    </row>
    <row r="832" spans="8:16" x14ac:dyDescent="0.25">
      <c r="H832" s="24"/>
      <c r="I832" s="24"/>
      <c r="J832" s="24"/>
      <c r="K832" s="24"/>
      <c r="L832" s="24"/>
      <c r="M832" s="24"/>
      <c r="N832" s="24"/>
      <c r="O832" s="24"/>
      <c r="P832" s="24"/>
    </row>
    <row r="833" spans="8:16" x14ac:dyDescent="0.25">
      <c r="H833" s="24"/>
      <c r="I833" s="24"/>
      <c r="J833" s="24"/>
      <c r="K833" s="24"/>
      <c r="L833" s="24"/>
      <c r="M833" s="24"/>
      <c r="N833" s="24"/>
      <c r="O833" s="24"/>
      <c r="P833" s="24"/>
    </row>
    <row r="834" spans="8:16" x14ac:dyDescent="0.25">
      <c r="H834" s="24"/>
      <c r="I834" s="24"/>
      <c r="J834" s="24"/>
      <c r="K834" s="24"/>
      <c r="L834" s="24"/>
      <c r="M834" s="24"/>
      <c r="N834" s="24"/>
      <c r="O834" s="24"/>
      <c r="P834" s="24"/>
    </row>
    <row r="835" spans="8:16" x14ac:dyDescent="0.25">
      <c r="H835" s="24"/>
      <c r="I835" s="24"/>
      <c r="J835" s="24"/>
      <c r="K835" s="24"/>
      <c r="L835" s="24"/>
      <c r="M835" s="24"/>
      <c r="N835" s="24"/>
      <c r="O835" s="24"/>
      <c r="P835" s="24"/>
    </row>
    <row r="836" spans="8:16" x14ac:dyDescent="0.25">
      <c r="H836" s="24"/>
      <c r="I836" s="24"/>
      <c r="J836" s="24"/>
      <c r="K836" s="24"/>
      <c r="L836" s="24"/>
      <c r="M836" s="24"/>
      <c r="N836" s="24"/>
      <c r="O836" s="24"/>
      <c r="P836" s="24"/>
    </row>
    <row r="837" spans="8:16" x14ac:dyDescent="0.25">
      <c r="H837" s="24"/>
      <c r="I837" s="24"/>
      <c r="J837" s="24"/>
      <c r="K837" s="24"/>
      <c r="L837" s="24"/>
      <c r="M837" s="24"/>
      <c r="N837" s="24"/>
      <c r="O837" s="24"/>
      <c r="P837" s="24"/>
    </row>
    <row r="838" spans="8:16" x14ac:dyDescent="0.25">
      <c r="H838" s="24"/>
      <c r="I838" s="24"/>
      <c r="J838" s="24"/>
      <c r="K838" s="24"/>
      <c r="L838" s="24"/>
      <c r="M838" s="24"/>
      <c r="N838" s="24"/>
      <c r="O838" s="24"/>
      <c r="P838" s="24"/>
    </row>
    <row r="839" spans="8:16" x14ac:dyDescent="0.25">
      <c r="H839" s="24"/>
      <c r="I839" s="24"/>
      <c r="J839" s="24"/>
      <c r="K839" s="24"/>
      <c r="L839" s="24"/>
      <c r="M839" s="24"/>
      <c r="N839" s="24"/>
      <c r="O839" s="24"/>
      <c r="P839" s="24"/>
    </row>
    <row r="840" spans="8:16" x14ac:dyDescent="0.25">
      <c r="H840" s="24"/>
      <c r="I840" s="24"/>
      <c r="J840" s="24"/>
      <c r="K840" s="24"/>
      <c r="L840" s="24"/>
      <c r="M840" s="24"/>
      <c r="N840" s="24"/>
      <c r="O840" s="24"/>
      <c r="P840" s="24"/>
    </row>
    <row r="841" spans="8:16" x14ac:dyDescent="0.25">
      <c r="H841" s="24"/>
      <c r="I841" s="24"/>
      <c r="J841" s="24"/>
      <c r="K841" s="24"/>
      <c r="L841" s="24"/>
      <c r="M841" s="24"/>
      <c r="N841" s="24"/>
      <c r="O841" s="24"/>
      <c r="P841" s="24"/>
    </row>
    <row r="842" spans="8:16" x14ac:dyDescent="0.25">
      <c r="H842" s="24"/>
      <c r="I842" s="24"/>
      <c r="J842" s="24"/>
      <c r="K842" s="24"/>
      <c r="L842" s="24"/>
      <c r="M842" s="24"/>
      <c r="N842" s="24"/>
      <c r="O842" s="24"/>
      <c r="P842" s="24"/>
    </row>
    <row r="843" spans="8:16" x14ac:dyDescent="0.25">
      <c r="H843" s="24"/>
      <c r="I843" s="24"/>
      <c r="J843" s="24"/>
      <c r="K843" s="24"/>
      <c r="L843" s="24"/>
      <c r="M843" s="24"/>
      <c r="N843" s="24"/>
      <c r="O843" s="24"/>
      <c r="P843" s="24"/>
    </row>
    <row r="844" spans="8:16" x14ac:dyDescent="0.25">
      <c r="H844" s="24"/>
      <c r="I844" s="24"/>
      <c r="J844" s="24"/>
      <c r="K844" s="24"/>
      <c r="L844" s="24"/>
      <c r="M844" s="24"/>
      <c r="N844" s="24"/>
      <c r="O844" s="24"/>
      <c r="P844" s="24"/>
    </row>
    <row r="845" spans="8:16" x14ac:dyDescent="0.25">
      <c r="H845" s="24"/>
      <c r="I845" s="24"/>
      <c r="J845" s="24"/>
      <c r="K845" s="24"/>
      <c r="L845" s="24"/>
      <c r="M845" s="24"/>
      <c r="N845" s="24"/>
      <c r="O845" s="24"/>
      <c r="P845" s="24"/>
    </row>
    <row r="846" spans="8:16" x14ac:dyDescent="0.25">
      <c r="H846" s="24"/>
      <c r="I846" s="24"/>
      <c r="J846" s="24"/>
      <c r="K846" s="24"/>
      <c r="L846" s="24"/>
      <c r="M846" s="24"/>
      <c r="N846" s="24"/>
      <c r="O846" s="24"/>
      <c r="P846" s="24"/>
    </row>
    <row r="847" spans="8:16" x14ac:dyDescent="0.25">
      <c r="H847" s="24"/>
      <c r="I847" s="24"/>
      <c r="J847" s="24"/>
      <c r="K847" s="24"/>
      <c r="L847" s="24"/>
      <c r="M847" s="24"/>
      <c r="N847" s="24"/>
      <c r="O847" s="24"/>
      <c r="P847" s="24"/>
    </row>
    <row r="848" spans="8:16" x14ac:dyDescent="0.25">
      <c r="H848" s="24"/>
      <c r="I848" s="24"/>
      <c r="J848" s="24"/>
      <c r="K848" s="24"/>
      <c r="L848" s="24"/>
      <c r="M848" s="24"/>
      <c r="N848" s="24"/>
      <c r="O848" s="24"/>
      <c r="P848" s="24"/>
    </row>
    <row r="849" spans="8:16" x14ac:dyDescent="0.25">
      <c r="H849" s="24"/>
      <c r="I849" s="24"/>
      <c r="J849" s="24"/>
      <c r="K849" s="24"/>
      <c r="L849" s="24"/>
      <c r="M849" s="24"/>
      <c r="N849" s="24"/>
      <c r="O849" s="24"/>
      <c r="P849" s="24"/>
    </row>
    <row r="850" spans="8:16" x14ac:dyDescent="0.25">
      <c r="H850" s="24"/>
      <c r="I850" s="24"/>
      <c r="J850" s="24"/>
      <c r="K850" s="24"/>
      <c r="L850" s="24"/>
      <c r="M850" s="24"/>
      <c r="N850" s="24"/>
      <c r="O850" s="24"/>
      <c r="P850" s="24"/>
    </row>
    <row r="851" spans="8:16" x14ac:dyDescent="0.25">
      <c r="H851" s="24"/>
      <c r="I851" s="24"/>
      <c r="J851" s="24"/>
      <c r="K851" s="24"/>
      <c r="L851" s="24"/>
      <c r="M851" s="24"/>
      <c r="N851" s="24"/>
      <c r="O851" s="24"/>
      <c r="P851" s="24"/>
    </row>
    <row r="852" spans="8:16" x14ac:dyDescent="0.25">
      <c r="H852" s="24"/>
      <c r="I852" s="24"/>
      <c r="J852" s="24"/>
      <c r="K852" s="24"/>
      <c r="L852" s="24"/>
      <c r="M852" s="24"/>
      <c r="N852" s="24"/>
      <c r="O852" s="24"/>
      <c r="P852" s="24"/>
    </row>
    <row r="853" spans="8:16" x14ac:dyDescent="0.25">
      <c r="H853" s="24"/>
      <c r="I853" s="24"/>
      <c r="J853" s="24"/>
      <c r="K853" s="24"/>
      <c r="L853" s="24"/>
      <c r="M853" s="24"/>
      <c r="N853" s="24"/>
      <c r="O853" s="24"/>
      <c r="P853" s="24"/>
    </row>
    <row r="854" spans="8:16" x14ac:dyDescent="0.25">
      <c r="H854" s="24"/>
      <c r="I854" s="24"/>
      <c r="J854" s="24"/>
      <c r="K854" s="24"/>
      <c r="L854" s="24"/>
      <c r="M854" s="24"/>
      <c r="N854" s="24"/>
      <c r="O854" s="24"/>
      <c r="P854" s="24"/>
    </row>
    <row r="855" spans="8:16" x14ac:dyDescent="0.25">
      <c r="H855" s="24"/>
      <c r="I855" s="24"/>
      <c r="J855" s="24"/>
      <c r="K855" s="24"/>
      <c r="L855" s="24"/>
      <c r="M855" s="24"/>
      <c r="N855" s="24"/>
      <c r="O855" s="24"/>
      <c r="P855" s="24"/>
    </row>
    <row r="856" spans="8:16" x14ac:dyDescent="0.25">
      <c r="H856" s="24"/>
      <c r="I856" s="24"/>
      <c r="J856" s="24"/>
      <c r="K856" s="24"/>
      <c r="L856" s="24"/>
      <c r="M856" s="24"/>
      <c r="N856" s="24"/>
      <c r="O856" s="24"/>
      <c r="P856" s="24"/>
    </row>
    <row r="857" spans="8:16" x14ac:dyDescent="0.25">
      <c r="H857" s="24"/>
      <c r="I857" s="24"/>
      <c r="J857" s="24"/>
      <c r="K857" s="24"/>
      <c r="L857" s="24"/>
      <c r="M857" s="24"/>
      <c r="N857" s="24"/>
      <c r="O857" s="24"/>
      <c r="P857" s="24"/>
    </row>
    <row r="858" spans="8:16" x14ac:dyDescent="0.25">
      <c r="H858" s="24"/>
      <c r="I858" s="24"/>
      <c r="J858" s="24"/>
      <c r="K858" s="24"/>
      <c r="L858" s="24"/>
      <c r="M858" s="24"/>
      <c r="N858" s="24"/>
      <c r="O858" s="24"/>
      <c r="P858" s="24"/>
    </row>
    <row r="859" spans="8:16" x14ac:dyDescent="0.25">
      <c r="H859" s="24"/>
      <c r="I859" s="24"/>
      <c r="J859" s="24"/>
      <c r="K859" s="24"/>
      <c r="L859" s="24"/>
      <c r="M859" s="24"/>
      <c r="N859" s="24"/>
      <c r="O859" s="24"/>
      <c r="P859" s="24"/>
    </row>
    <row r="860" spans="8:16" x14ac:dyDescent="0.25">
      <c r="H860" s="24"/>
      <c r="I860" s="24"/>
      <c r="J860" s="24"/>
      <c r="K860" s="24"/>
      <c r="L860" s="24"/>
      <c r="M860" s="24"/>
      <c r="N860" s="24"/>
      <c r="O860" s="24"/>
      <c r="P860" s="24"/>
    </row>
    <row r="861" spans="8:16" x14ac:dyDescent="0.25">
      <c r="H861" s="24"/>
      <c r="I861" s="24"/>
      <c r="J861" s="24"/>
      <c r="K861" s="24"/>
      <c r="L861" s="24"/>
      <c r="M861" s="24"/>
      <c r="N861" s="24"/>
      <c r="O861" s="24"/>
      <c r="P861" s="24"/>
    </row>
    <row r="862" spans="8:16" x14ac:dyDescent="0.25">
      <c r="H862" s="24"/>
      <c r="I862" s="24"/>
      <c r="J862" s="24"/>
      <c r="K862" s="24"/>
      <c r="L862" s="24"/>
      <c r="M862" s="24"/>
      <c r="N862" s="24"/>
      <c r="O862" s="24"/>
      <c r="P862" s="24"/>
    </row>
    <row r="863" spans="8:16" x14ac:dyDescent="0.25">
      <c r="H863" s="24"/>
      <c r="I863" s="24"/>
      <c r="J863" s="24"/>
      <c r="K863" s="24"/>
      <c r="L863" s="24"/>
      <c r="M863" s="24"/>
      <c r="N863" s="24"/>
      <c r="O863" s="24"/>
      <c r="P863" s="24"/>
    </row>
    <row r="864" spans="8:16" x14ac:dyDescent="0.25">
      <c r="H864" s="24"/>
      <c r="I864" s="24"/>
      <c r="J864" s="24"/>
      <c r="K864" s="24"/>
      <c r="L864" s="24"/>
      <c r="M864" s="24"/>
      <c r="N864" s="24"/>
      <c r="O864" s="24"/>
      <c r="P864" s="24"/>
    </row>
    <row r="865" spans="8:16" x14ac:dyDescent="0.25">
      <c r="H865" s="24"/>
      <c r="I865" s="24"/>
      <c r="J865" s="24"/>
      <c r="K865" s="24"/>
      <c r="L865" s="24"/>
      <c r="M865" s="24"/>
      <c r="N865" s="24"/>
      <c r="O865" s="24"/>
      <c r="P865" s="24"/>
    </row>
    <row r="866" spans="8:16" x14ac:dyDescent="0.25">
      <c r="H866" s="24"/>
      <c r="I866" s="24"/>
      <c r="J866" s="24"/>
      <c r="K866" s="24"/>
      <c r="L866" s="24"/>
      <c r="M866" s="24"/>
      <c r="N866" s="24"/>
      <c r="O866" s="24"/>
      <c r="P866" s="24"/>
    </row>
    <row r="867" spans="8:16" x14ac:dyDescent="0.25">
      <c r="H867" s="24"/>
      <c r="I867" s="24"/>
      <c r="J867" s="24"/>
      <c r="K867" s="24"/>
      <c r="L867" s="24"/>
      <c r="M867" s="24"/>
      <c r="N867" s="24"/>
      <c r="O867" s="24"/>
      <c r="P867" s="24"/>
    </row>
    <row r="868" spans="8:16" x14ac:dyDescent="0.25">
      <c r="H868" s="24"/>
      <c r="I868" s="24"/>
      <c r="J868" s="24"/>
      <c r="K868" s="24"/>
      <c r="L868" s="24"/>
      <c r="M868" s="24"/>
      <c r="N868" s="24"/>
      <c r="O868" s="24"/>
      <c r="P868" s="24"/>
    </row>
    <row r="869" spans="8:16" x14ac:dyDescent="0.25">
      <c r="H869" s="24"/>
      <c r="I869" s="24"/>
      <c r="J869" s="24"/>
      <c r="K869" s="24"/>
      <c r="L869" s="24"/>
      <c r="M869" s="24"/>
      <c r="N869" s="24"/>
      <c r="O869" s="24"/>
      <c r="P869" s="24"/>
    </row>
    <row r="870" spans="8:16" x14ac:dyDescent="0.25">
      <c r="H870" s="24"/>
      <c r="I870" s="24"/>
      <c r="J870" s="24"/>
      <c r="K870" s="24"/>
      <c r="L870" s="24"/>
      <c r="M870" s="24"/>
      <c r="N870" s="24"/>
      <c r="O870" s="24"/>
      <c r="P870" s="24"/>
    </row>
    <row r="871" spans="8:16" x14ac:dyDescent="0.25">
      <c r="H871" s="24"/>
      <c r="I871" s="24"/>
      <c r="J871" s="24"/>
      <c r="K871" s="24"/>
      <c r="L871" s="24"/>
      <c r="M871" s="24"/>
      <c r="N871" s="24"/>
      <c r="O871" s="24"/>
      <c r="P871" s="24"/>
    </row>
    <row r="872" spans="8:16" x14ac:dyDescent="0.25">
      <c r="H872" s="24"/>
      <c r="I872" s="24"/>
      <c r="J872" s="24"/>
      <c r="K872" s="24"/>
      <c r="L872" s="24"/>
      <c r="M872" s="24"/>
      <c r="N872" s="24"/>
      <c r="O872" s="24"/>
      <c r="P872" s="24"/>
    </row>
    <row r="873" spans="8:16" x14ac:dyDescent="0.25">
      <c r="H873" s="24"/>
      <c r="I873" s="24"/>
      <c r="J873" s="24"/>
      <c r="K873" s="24"/>
      <c r="L873" s="24"/>
      <c r="M873" s="24"/>
      <c r="N873" s="24"/>
      <c r="O873" s="24"/>
      <c r="P873" s="24"/>
    </row>
    <row r="874" spans="8:16" x14ac:dyDescent="0.25">
      <c r="H874" s="24"/>
      <c r="I874" s="24"/>
      <c r="J874" s="24"/>
      <c r="K874" s="24"/>
      <c r="L874" s="24"/>
      <c r="M874" s="24"/>
      <c r="N874" s="24"/>
      <c r="O874" s="24"/>
      <c r="P874" s="24"/>
    </row>
    <row r="875" spans="8:16" x14ac:dyDescent="0.25">
      <c r="H875" s="24"/>
      <c r="I875" s="24"/>
      <c r="J875" s="24"/>
      <c r="K875" s="24"/>
      <c r="L875" s="24"/>
      <c r="M875" s="24"/>
      <c r="N875" s="24"/>
      <c r="O875" s="24"/>
      <c r="P875" s="24"/>
    </row>
    <row r="876" spans="8:16" x14ac:dyDescent="0.25">
      <c r="H876" s="24"/>
      <c r="I876" s="24"/>
      <c r="J876" s="24"/>
      <c r="K876" s="24"/>
      <c r="L876" s="24"/>
      <c r="M876" s="24"/>
      <c r="N876" s="24"/>
      <c r="O876" s="24"/>
      <c r="P876" s="24"/>
    </row>
    <row r="877" spans="8:16" x14ac:dyDescent="0.25">
      <c r="H877" s="24"/>
      <c r="I877" s="24"/>
      <c r="J877" s="24"/>
      <c r="K877" s="24"/>
      <c r="L877" s="24"/>
      <c r="M877" s="24"/>
      <c r="N877" s="24"/>
      <c r="O877" s="24"/>
      <c r="P877" s="24"/>
    </row>
    <row r="878" spans="8:16" x14ac:dyDescent="0.25">
      <c r="H878" s="24"/>
      <c r="I878" s="24"/>
      <c r="J878" s="24"/>
      <c r="K878" s="24"/>
      <c r="L878" s="24"/>
      <c r="M878" s="24"/>
      <c r="N878" s="24"/>
      <c r="O878" s="24"/>
      <c r="P878" s="24"/>
    </row>
    <row r="879" spans="8:16" x14ac:dyDescent="0.25">
      <c r="H879" s="24"/>
      <c r="I879" s="24"/>
      <c r="J879" s="24"/>
      <c r="K879" s="24"/>
      <c r="L879" s="24"/>
      <c r="M879" s="24"/>
      <c r="N879" s="24"/>
      <c r="O879" s="24"/>
      <c r="P879" s="24"/>
    </row>
    <row r="880" spans="8:16" x14ac:dyDescent="0.25">
      <c r="H880" s="24"/>
      <c r="I880" s="24"/>
      <c r="J880" s="24"/>
      <c r="K880" s="24"/>
      <c r="L880" s="24"/>
      <c r="M880" s="24"/>
      <c r="N880" s="24"/>
      <c r="O880" s="24"/>
      <c r="P880" s="24"/>
    </row>
    <row r="881" spans="8:16" x14ac:dyDescent="0.25">
      <c r="H881" s="24"/>
      <c r="I881" s="24"/>
      <c r="J881" s="24"/>
      <c r="K881" s="24"/>
      <c r="L881" s="24"/>
      <c r="M881" s="24"/>
      <c r="N881" s="24"/>
      <c r="O881" s="24"/>
      <c r="P881" s="24"/>
    </row>
    <row r="882" spans="8:16" x14ac:dyDescent="0.25">
      <c r="H882" s="24"/>
      <c r="I882" s="24"/>
      <c r="J882" s="24"/>
      <c r="K882" s="24"/>
      <c r="L882" s="24"/>
      <c r="M882" s="24"/>
      <c r="N882" s="24"/>
      <c r="O882" s="24"/>
      <c r="P882" s="24"/>
    </row>
    <row r="883" spans="8:16" x14ac:dyDescent="0.25">
      <c r="H883" s="24"/>
      <c r="I883" s="24"/>
      <c r="J883" s="24"/>
      <c r="K883" s="24"/>
      <c r="L883" s="24"/>
      <c r="M883" s="24"/>
      <c r="N883" s="24"/>
      <c r="O883" s="24"/>
      <c r="P883" s="24"/>
    </row>
    <row r="884" spans="8:16" x14ac:dyDescent="0.25">
      <c r="H884" s="24"/>
      <c r="I884" s="24"/>
      <c r="J884" s="24"/>
      <c r="K884" s="24"/>
      <c r="L884" s="24"/>
      <c r="M884" s="24"/>
      <c r="N884" s="24"/>
      <c r="O884" s="24"/>
      <c r="P884" s="24"/>
    </row>
    <row r="885" spans="8:16" x14ac:dyDescent="0.25">
      <c r="H885" s="24"/>
      <c r="I885" s="24"/>
      <c r="J885" s="24"/>
      <c r="K885" s="24"/>
      <c r="L885" s="24"/>
      <c r="M885" s="24"/>
      <c r="N885" s="24"/>
      <c r="O885" s="24"/>
      <c r="P885" s="24"/>
    </row>
    <row r="886" spans="8:16" x14ac:dyDescent="0.25">
      <c r="H886" s="24"/>
      <c r="I886" s="24"/>
      <c r="J886" s="24"/>
      <c r="K886" s="24"/>
      <c r="L886" s="24"/>
      <c r="M886" s="24"/>
      <c r="N886" s="24"/>
      <c r="O886" s="24"/>
      <c r="P886" s="24"/>
    </row>
    <row r="887" spans="8:16" x14ac:dyDescent="0.25">
      <c r="H887" s="24"/>
      <c r="I887" s="24"/>
      <c r="J887" s="24"/>
      <c r="K887" s="24"/>
      <c r="L887" s="24"/>
      <c r="M887" s="24"/>
      <c r="N887" s="24"/>
      <c r="O887" s="24"/>
      <c r="P887" s="24"/>
    </row>
    <row r="888" spans="8:16" x14ac:dyDescent="0.25">
      <c r="H888" s="24"/>
      <c r="I888" s="24"/>
      <c r="J888" s="24"/>
      <c r="K888" s="24"/>
      <c r="L888" s="24"/>
      <c r="M888" s="24"/>
      <c r="N888" s="24"/>
      <c r="O888" s="24"/>
      <c r="P888" s="24"/>
    </row>
    <row r="889" spans="8:16" x14ac:dyDescent="0.25">
      <c r="H889" s="24"/>
      <c r="I889" s="24"/>
      <c r="J889" s="24"/>
      <c r="K889" s="24"/>
      <c r="L889" s="24"/>
      <c r="M889" s="24"/>
      <c r="N889" s="24"/>
      <c r="O889" s="24"/>
      <c r="P889" s="24"/>
    </row>
    <row r="890" spans="8:16" x14ac:dyDescent="0.25">
      <c r="H890" s="24"/>
      <c r="I890" s="24"/>
      <c r="J890" s="24"/>
      <c r="K890" s="24"/>
      <c r="L890" s="24"/>
      <c r="M890" s="24"/>
      <c r="N890" s="24"/>
      <c r="O890" s="24"/>
      <c r="P890" s="24"/>
    </row>
    <row r="891" spans="8:16" x14ac:dyDescent="0.25">
      <c r="H891" s="24"/>
      <c r="I891" s="24"/>
      <c r="J891" s="24"/>
      <c r="K891" s="24"/>
      <c r="L891" s="24"/>
      <c r="M891" s="24"/>
      <c r="N891" s="24"/>
      <c r="O891" s="24"/>
      <c r="P891" s="24"/>
    </row>
    <row r="892" spans="8:16" x14ac:dyDescent="0.25">
      <c r="H892" s="24"/>
      <c r="I892" s="24"/>
      <c r="J892" s="24"/>
      <c r="K892" s="24"/>
      <c r="L892" s="24"/>
      <c r="M892" s="24"/>
      <c r="N892" s="24"/>
      <c r="O892" s="24"/>
      <c r="P892" s="24"/>
    </row>
    <row r="893" spans="8:16" x14ac:dyDescent="0.25">
      <c r="H893" s="24"/>
      <c r="I893" s="24"/>
      <c r="J893" s="24"/>
      <c r="K893" s="24"/>
      <c r="L893" s="24"/>
      <c r="M893" s="24"/>
      <c r="N893" s="24"/>
      <c r="O893" s="24"/>
      <c r="P893" s="24"/>
    </row>
    <row r="894" spans="8:16" x14ac:dyDescent="0.25">
      <c r="H894" s="24"/>
      <c r="I894" s="24"/>
      <c r="J894" s="24"/>
      <c r="K894" s="24"/>
      <c r="L894" s="24"/>
      <c r="M894" s="24"/>
      <c r="N894" s="24"/>
      <c r="O894" s="24"/>
      <c r="P894" s="24"/>
    </row>
    <row r="895" spans="8:16" x14ac:dyDescent="0.25">
      <c r="H895" s="24"/>
      <c r="I895" s="24"/>
      <c r="J895" s="24"/>
      <c r="K895" s="24"/>
      <c r="L895" s="24"/>
      <c r="M895" s="24"/>
      <c r="N895" s="24"/>
      <c r="O895" s="24"/>
      <c r="P895" s="24"/>
    </row>
    <row r="896" spans="8:16" x14ac:dyDescent="0.25">
      <c r="H896" s="24"/>
      <c r="I896" s="24"/>
      <c r="J896" s="24"/>
      <c r="K896" s="24"/>
      <c r="L896" s="24"/>
      <c r="M896" s="24"/>
      <c r="N896" s="24"/>
      <c r="O896" s="24"/>
      <c r="P896" s="24"/>
    </row>
    <row r="897" spans="8:16" x14ac:dyDescent="0.25">
      <c r="H897" s="24"/>
      <c r="I897" s="24"/>
      <c r="J897" s="24"/>
      <c r="K897" s="24"/>
      <c r="L897" s="24"/>
      <c r="M897" s="24"/>
      <c r="N897" s="24"/>
      <c r="O897" s="24"/>
      <c r="P897" s="24"/>
    </row>
    <row r="898" spans="8:16" x14ac:dyDescent="0.25">
      <c r="H898" s="24"/>
      <c r="I898" s="24"/>
      <c r="J898" s="24"/>
      <c r="K898" s="24"/>
      <c r="L898" s="24"/>
      <c r="M898" s="24"/>
      <c r="N898" s="24"/>
      <c r="O898" s="24"/>
      <c r="P898" s="24"/>
    </row>
    <row r="899" spans="8:16" x14ac:dyDescent="0.25">
      <c r="H899" s="24"/>
      <c r="I899" s="24"/>
      <c r="J899" s="24"/>
      <c r="K899" s="24"/>
      <c r="L899" s="24"/>
      <c r="M899" s="24"/>
      <c r="N899" s="24"/>
      <c r="O899" s="24"/>
      <c r="P899" s="24"/>
    </row>
    <row r="900" spans="8:16" x14ac:dyDescent="0.25">
      <c r="H900" s="24"/>
      <c r="I900" s="24"/>
      <c r="J900" s="24"/>
      <c r="K900" s="24"/>
      <c r="L900" s="24"/>
      <c r="M900" s="24"/>
      <c r="N900" s="24"/>
      <c r="O900" s="24"/>
      <c r="P900" s="24"/>
    </row>
    <row r="901" spans="8:16" x14ac:dyDescent="0.25">
      <c r="H901" s="24"/>
      <c r="I901" s="24"/>
      <c r="J901" s="24"/>
      <c r="K901" s="24"/>
      <c r="L901" s="24"/>
      <c r="M901" s="24"/>
      <c r="N901" s="24"/>
      <c r="O901" s="24"/>
      <c r="P901" s="24"/>
    </row>
    <row r="902" spans="8:16" x14ac:dyDescent="0.25">
      <c r="H902" s="24"/>
      <c r="I902" s="24"/>
      <c r="J902" s="24"/>
      <c r="K902" s="24"/>
      <c r="L902" s="24"/>
      <c r="M902" s="24"/>
      <c r="N902" s="24"/>
      <c r="O902" s="24"/>
      <c r="P902" s="24"/>
    </row>
    <row r="903" spans="8:16" x14ac:dyDescent="0.25">
      <c r="H903" s="24"/>
      <c r="I903" s="24"/>
      <c r="J903" s="24"/>
      <c r="K903" s="24"/>
      <c r="L903" s="24"/>
      <c r="M903" s="24"/>
      <c r="N903" s="24"/>
      <c r="O903" s="24"/>
      <c r="P903" s="24"/>
    </row>
    <row r="904" spans="8:16" x14ac:dyDescent="0.25">
      <c r="H904" s="24"/>
      <c r="I904" s="24"/>
      <c r="J904" s="24"/>
      <c r="K904" s="24"/>
      <c r="L904" s="24"/>
      <c r="M904" s="24"/>
      <c r="N904" s="24"/>
      <c r="O904" s="24"/>
      <c r="P904" s="24"/>
    </row>
    <row r="905" spans="8:16" x14ac:dyDescent="0.25">
      <c r="H905" s="24"/>
      <c r="I905" s="24"/>
      <c r="J905" s="24"/>
      <c r="K905" s="24"/>
      <c r="L905" s="24"/>
      <c r="M905" s="24"/>
      <c r="N905" s="24"/>
      <c r="O905" s="24"/>
      <c r="P905" s="24"/>
    </row>
    <row r="906" spans="8:16" x14ac:dyDescent="0.25">
      <c r="H906" s="24"/>
      <c r="I906" s="24"/>
      <c r="J906" s="24"/>
      <c r="K906" s="24"/>
      <c r="L906" s="24"/>
      <c r="M906" s="24"/>
      <c r="N906" s="24"/>
      <c r="O906" s="24"/>
      <c r="P906" s="24"/>
    </row>
    <row r="907" spans="8:16" x14ac:dyDescent="0.25">
      <c r="H907" s="24"/>
      <c r="I907" s="24"/>
      <c r="J907" s="24"/>
      <c r="K907" s="24"/>
      <c r="L907" s="24"/>
      <c r="M907" s="24"/>
      <c r="N907" s="24"/>
      <c r="O907" s="24"/>
      <c r="P907" s="24"/>
    </row>
    <row r="908" spans="8:16" x14ac:dyDescent="0.25">
      <c r="H908" s="24"/>
      <c r="I908" s="24"/>
      <c r="J908" s="24"/>
      <c r="K908" s="24"/>
      <c r="L908" s="24"/>
      <c r="M908" s="24"/>
      <c r="N908" s="24"/>
      <c r="O908" s="24"/>
      <c r="P908" s="24"/>
    </row>
    <row r="909" spans="8:16" x14ac:dyDescent="0.25">
      <c r="H909" s="24"/>
      <c r="I909" s="24"/>
      <c r="J909" s="24"/>
      <c r="K909" s="24"/>
      <c r="L909" s="24"/>
      <c r="M909" s="24"/>
      <c r="N909" s="24"/>
      <c r="O909" s="24"/>
      <c r="P909" s="24"/>
    </row>
    <row r="910" spans="8:16" x14ac:dyDescent="0.25">
      <c r="H910" s="24"/>
      <c r="I910" s="24"/>
      <c r="J910" s="24"/>
      <c r="K910" s="24"/>
      <c r="L910" s="24"/>
      <c r="M910" s="24"/>
      <c r="N910" s="24"/>
      <c r="O910" s="24"/>
      <c r="P910" s="24"/>
    </row>
    <row r="911" spans="8:16" x14ac:dyDescent="0.25">
      <c r="H911" s="24"/>
      <c r="I911" s="24"/>
      <c r="J911" s="24"/>
      <c r="K911" s="24"/>
      <c r="L911" s="24"/>
      <c r="M911" s="24"/>
      <c r="N911" s="24"/>
      <c r="O911" s="24"/>
      <c r="P911" s="24"/>
    </row>
    <row r="912" spans="8:16" x14ac:dyDescent="0.25">
      <c r="H912" s="24"/>
      <c r="I912" s="24"/>
      <c r="J912" s="24"/>
      <c r="K912" s="24"/>
      <c r="L912" s="24"/>
      <c r="M912" s="24"/>
      <c r="N912" s="24"/>
      <c r="O912" s="24"/>
      <c r="P912" s="24"/>
    </row>
    <row r="913" spans="8:16" x14ac:dyDescent="0.25">
      <c r="H913" s="24"/>
      <c r="I913" s="24"/>
      <c r="J913" s="24"/>
      <c r="K913" s="24"/>
      <c r="L913" s="24"/>
      <c r="M913" s="24"/>
      <c r="N913" s="24"/>
      <c r="O913" s="24"/>
      <c r="P913" s="24"/>
    </row>
    <row r="914" spans="8:16" x14ac:dyDescent="0.25">
      <c r="H914" s="24"/>
      <c r="I914" s="24"/>
      <c r="J914" s="24"/>
      <c r="K914" s="24"/>
      <c r="L914" s="24"/>
      <c r="M914" s="24"/>
      <c r="N914" s="24"/>
      <c r="O914" s="24"/>
      <c r="P914" s="24"/>
    </row>
    <row r="915" spans="8:16" x14ac:dyDescent="0.25">
      <c r="H915" s="24"/>
      <c r="I915" s="24"/>
      <c r="J915" s="24"/>
      <c r="K915" s="24"/>
      <c r="L915" s="24"/>
      <c r="M915" s="24"/>
      <c r="N915" s="24"/>
      <c r="O915" s="24"/>
      <c r="P915" s="24"/>
    </row>
    <row r="916" spans="8:16" x14ac:dyDescent="0.25">
      <c r="H916" s="24"/>
      <c r="I916" s="24"/>
      <c r="J916" s="24"/>
      <c r="K916" s="24"/>
      <c r="L916" s="24"/>
      <c r="M916" s="24"/>
      <c r="N916" s="24"/>
      <c r="O916" s="24"/>
      <c r="P916" s="24"/>
    </row>
    <row r="917" spans="8:16" x14ac:dyDescent="0.25">
      <c r="H917" s="24"/>
      <c r="I917" s="24"/>
      <c r="J917" s="24"/>
      <c r="K917" s="24"/>
      <c r="L917" s="24"/>
      <c r="M917" s="24"/>
      <c r="N917" s="24"/>
      <c r="O917" s="24"/>
      <c r="P917" s="24"/>
    </row>
    <row r="918" spans="8:16" x14ac:dyDescent="0.25">
      <c r="H918" s="24"/>
      <c r="I918" s="24"/>
      <c r="J918" s="24"/>
      <c r="K918" s="24"/>
      <c r="L918" s="24"/>
      <c r="M918" s="24"/>
      <c r="N918" s="24"/>
      <c r="O918" s="24"/>
      <c r="P918" s="24"/>
    </row>
    <row r="919" spans="8:16" x14ac:dyDescent="0.25">
      <c r="H919" s="24"/>
      <c r="I919" s="24"/>
      <c r="J919" s="24"/>
      <c r="K919" s="24"/>
      <c r="L919" s="24"/>
      <c r="M919" s="24"/>
      <c r="N919" s="24"/>
      <c r="O919" s="24"/>
      <c r="P919" s="24"/>
    </row>
    <row r="920" spans="8:16" x14ac:dyDescent="0.25">
      <c r="H920" s="24"/>
      <c r="I920" s="24"/>
      <c r="J920" s="24"/>
      <c r="K920" s="24"/>
      <c r="L920" s="24"/>
      <c r="M920" s="24"/>
      <c r="N920" s="24"/>
      <c r="O920" s="24"/>
      <c r="P920" s="24"/>
    </row>
    <row r="921" spans="8:16" x14ac:dyDescent="0.25">
      <c r="H921" s="24"/>
      <c r="I921" s="24"/>
      <c r="J921" s="24"/>
      <c r="K921" s="24"/>
      <c r="L921" s="24"/>
      <c r="M921" s="24"/>
      <c r="N921" s="24"/>
      <c r="O921" s="24"/>
      <c r="P921" s="24"/>
    </row>
    <row r="922" spans="8:16" x14ac:dyDescent="0.25">
      <c r="H922" s="24"/>
      <c r="I922" s="24"/>
      <c r="J922" s="24"/>
      <c r="K922" s="24"/>
      <c r="L922" s="24"/>
      <c r="M922" s="24"/>
      <c r="N922" s="24"/>
      <c r="O922" s="24"/>
      <c r="P922" s="24"/>
    </row>
    <row r="923" spans="8:16" x14ac:dyDescent="0.25">
      <c r="H923" s="24"/>
      <c r="I923" s="24"/>
      <c r="J923" s="24"/>
      <c r="K923" s="24"/>
      <c r="L923" s="24"/>
      <c r="M923" s="24"/>
      <c r="N923" s="24"/>
      <c r="O923" s="24"/>
      <c r="P923" s="24"/>
    </row>
    <row r="924" spans="8:16" x14ac:dyDescent="0.25">
      <c r="H924" s="24"/>
      <c r="I924" s="24"/>
      <c r="J924" s="24"/>
      <c r="K924" s="24"/>
      <c r="L924" s="24"/>
      <c r="M924" s="24"/>
      <c r="N924" s="24"/>
      <c r="O924" s="24"/>
      <c r="P924" s="24"/>
    </row>
    <row r="925" spans="8:16" x14ac:dyDescent="0.25">
      <c r="H925" s="24"/>
      <c r="I925" s="24"/>
      <c r="J925" s="24"/>
      <c r="K925" s="24"/>
      <c r="L925" s="24"/>
      <c r="M925" s="24"/>
      <c r="N925" s="24"/>
      <c r="O925" s="24"/>
      <c r="P925" s="24"/>
    </row>
    <row r="926" spans="8:16" x14ac:dyDescent="0.25">
      <c r="H926" s="24"/>
      <c r="I926" s="24"/>
      <c r="J926" s="24"/>
      <c r="K926" s="24"/>
      <c r="L926" s="24"/>
      <c r="M926" s="24"/>
      <c r="N926" s="24"/>
      <c r="O926" s="24"/>
      <c r="P926" s="24"/>
    </row>
    <row r="927" spans="8:16" x14ac:dyDescent="0.25">
      <c r="H927" s="24"/>
      <c r="I927" s="24"/>
      <c r="J927" s="24"/>
      <c r="K927" s="24"/>
      <c r="L927" s="24"/>
      <c r="M927" s="24"/>
      <c r="N927" s="24"/>
      <c r="O927" s="24"/>
      <c r="P927" s="24"/>
    </row>
    <row r="928" spans="8:16" x14ac:dyDescent="0.25">
      <c r="H928" s="24"/>
      <c r="I928" s="24"/>
      <c r="J928" s="24"/>
      <c r="K928" s="24"/>
      <c r="L928" s="24"/>
      <c r="M928" s="24"/>
      <c r="N928" s="24"/>
      <c r="O928" s="24"/>
      <c r="P928" s="24"/>
    </row>
    <row r="929" spans="8:16" x14ac:dyDescent="0.25">
      <c r="H929" s="24"/>
      <c r="I929" s="24"/>
      <c r="J929" s="24"/>
      <c r="K929" s="24"/>
      <c r="L929" s="24"/>
      <c r="M929" s="24"/>
      <c r="N929" s="24"/>
      <c r="O929" s="24"/>
      <c r="P929" s="24"/>
    </row>
    <row r="930" spans="8:16" x14ac:dyDescent="0.25">
      <c r="H930" s="24"/>
      <c r="I930" s="24"/>
      <c r="J930" s="24"/>
      <c r="K930" s="24"/>
      <c r="L930" s="24"/>
      <c r="M930" s="24"/>
      <c r="N930" s="24"/>
      <c r="O930" s="24"/>
      <c r="P930" s="24"/>
    </row>
    <row r="931" spans="8:16" x14ac:dyDescent="0.25">
      <c r="H931" s="24"/>
      <c r="I931" s="24"/>
      <c r="J931" s="24"/>
      <c r="K931" s="24"/>
      <c r="L931" s="24"/>
      <c r="M931" s="24"/>
      <c r="N931" s="24"/>
      <c r="O931" s="24"/>
      <c r="P931" s="24"/>
    </row>
    <row r="932" spans="8:16" x14ac:dyDescent="0.25">
      <c r="H932" s="24"/>
      <c r="I932" s="24"/>
      <c r="J932" s="24"/>
      <c r="K932" s="24"/>
      <c r="L932" s="24"/>
      <c r="M932" s="24"/>
      <c r="N932" s="24"/>
      <c r="O932" s="24"/>
      <c r="P932" s="24"/>
    </row>
    <row r="933" spans="8:16" x14ac:dyDescent="0.25">
      <c r="H933" s="24"/>
      <c r="I933" s="24"/>
      <c r="J933" s="24"/>
      <c r="K933" s="24"/>
      <c r="L933" s="24"/>
      <c r="M933" s="24"/>
      <c r="N933" s="24"/>
      <c r="O933" s="24"/>
      <c r="P933" s="24"/>
    </row>
    <row r="934" spans="8:16" x14ac:dyDescent="0.25">
      <c r="H934" s="24"/>
      <c r="I934" s="24"/>
      <c r="J934" s="24"/>
      <c r="K934" s="24"/>
      <c r="L934" s="24"/>
      <c r="M934" s="24"/>
      <c r="N934" s="24"/>
      <c r="O934" s="24"/>
      <c r="P934" s="24"/>
    </row>
    <row r="935" spans="8:16" x14ac:dyDescent="0.25">
      <c r="H935" s="24"/>
      <c r="I935" s="24"/>
      <c r="J935" s="24"/>
      <c r="K935" s="24"/>
      <c r="L935" s="24"/>
      <c r="M935" s="24"/>
      <c r="N935" s="24"/>
      <c r="O935" s="24"/>
      <c r="P935" s="24"/>
    </row>
    <row r="936" spans="8:16" x14ac:dyDescent="0.25">
      <c r="H936" s="24"/>
      <c r="I936" s="24"/>
      <c r="J936" s="24"/>
      <c r="K936" s="24"/>
      <c r="L936" s="24"/>
      <c r="M936" s="24"/>
      <c r="N936" s="24"/>
      <c r="O936" s="24"/>
      <c r="P936" s="24"/>
    </row>
    <row r="937" spans="8:16" x14ac:dyDescent="0.25">
      <c r="H937" s="24"/>
      <c r="I937" s="24"/>
      <c r="J937" s="24"/>
      <c r="K937" s="24"/>
      <c r="L937" s="24"/>
      <c r="M937" s="24"/>
      <c r="N937" s="24"/>
      <c r="O937" s="24"/>
      <c r="P937" s="24"/>
    </row>
    <row r="938" spans="8:16" x14ac:dyDescent="0.25">
      <c r="H938" s="24"/>
      <c r="I938" s="24"/>
      <c r="J938" s="24"/>
      <c r="K938" s="24"/>
      <c r="L938" s="24"/>
      <c r="M938" s="24"/>
      <c r="N938" s="24"/>
      <c r="O938" s="24"/>
      <c r="P938" s="24"/>
    </row>
    <row r="939" spans="8:16" x14ac:dyDescent="0.25">
      <c r="H939" s="24"/>
      <c r="I939" s="24"/>
      <c r="J939" s="24"/>
      <c r="K939" s="24"/>
      <c r="L939" s="24"/>
      <c r="M939" s="24"/>
      <c r="N939" s="24"/>
      <c r="O939" s="24"/>
      <c r="P939" s="24"/>
    </row>
    <row r="940" spans="8:16" x14ac:dyDescent="0.25">
      <c r="H940" s="24"/>
      <c r="I940" s="24"/>
      <c r="J940" s="24"/>
      <c r="K940" s="24"/>
      <c r="L940" s="24"/>
      <c r="M940" s="24"/>
      <c r="N940" s="24"/>
      <c r="O940" s="24"/>
      <c r="P940" s="24"/>
    </row>
    <row r="941" spans="8:16" x14ac:dyDescent="0.25">
      <c r="H941" s="24"/>
      <c r="I941" s="24"/>
      <c r="J941" s="24"/>
      <c r="K941" s="24"/>
      <c r="L941" s="24"/>
      <c r="M941" s="24"/>
      <c r="N941" s="24"/>
      <c r="O941" s="24"/>
      <c r="P941" s="24"/>
    </row>
    <row r="942" spans="8:16" x14ac:dyDescent="0.25">
      <c r="H942" s="24"/>
      <c r="I942" s="24"/>
      <c r="J942" s="24"/>
      <c r="K942" s="24"/>
      <c r="L942" s="24"/>
      <c r="M942" s="24"/>
      <c r="N942" s="24"/>
      <c r="O942" s="24"/>
      <c r="P942" s="24"/>
    </row>
    <row r="943" spans="8:16" x14ac:dyDescent="0.25">
      <c r="H943" s="24"/>
      <c r="I943" s="24"/>
      <c r="J943" s="24"/>
      <c r="K943" s="24"/>
      <c r="L943" s="24"/>
      <c r="M943" s="24"/>
      <c r="N943" s="24"/>
      <c r="O943" s="24"/>
      <c r="P943" s="24"/>
    </row>
    <row r="944" spans="8:16" x14ac:dyDescent="0.25">
      <c r="H944" s="24"/>
      <c r="I944" s="24"/>
      <c r="J944" s="24"/>
      <c r="K944" s="24"/>
      <c r="L944" s="24"/>
      <c r="M944" s="24"/>
      <c r="N944" s="24"/>
      <c r="O944" s="24"/>
      <c r="P944" s="24"/>
    </row>
    <row r="945" spans="8:16" x14ac:dyDescent="0.25">
      <c r="H945" s="24"/>
      <c r="I945" s="24"/>
      <c r="J945" s="24"/>
      <c r="K945" s="24"/>
      <c r="L945" s="24"/>
      <c r="M945" s="24"/>
      <c r="N945" s="24"/>
      <c r="O945" s="24"/>
      <c r="P945" s="24"/>
    </row>
    <row r="946" spans="8:16" x14ac:dyDescent="0.25">
      <c r="H946" s="24"/>
      <c r="I946" s="24"/>
      <c r="J946" s="24"/>
      <c r="K946" s="24"/>
      <c r="L946" s="24"/>
      <c r="M946" s="24"/>
      <c r="N946" s="24"/>
      <c r="O946" s="24"/>
      <c r="P946" s="24"/>
    </row>
    <row r="947" spans="8:16" x14ac:dyDescent="0.25">
      <c r="H947" s="24"/>
      <c r="I947" s="24"/>
      <c r="J947" s="24"/>
      <c r="K947" s="24"/>
      <c r="L947" s="24"/>
      <c r="M947" s="24"/>
      <c r="N947" s="24"/>
      <c r="O947" s="24"/>
      <c r="P947" s="24"/>
    </row>
    <row r="948" spans="8:16" x14ac:dyDescent="0.25">
      <c r="H948" s="24"/>
      <c r="I948" s="24"/>
      <c r="J948" s="24"/>
      <c r="K948" s="24"/>
      <c r="L948" s="24"/>
      <c r="M948" s="24"/>
      <c r="N948" s="24"/>
      <c r="O948" s="24"/>
      <c r="P948" s="24"/>
    </row>
    <row r="949" spans="8:16" x14ac:dyDescent="0.25">
      <c r="H949" s="24"/>
      <c r="I949" s="24"/>
      <c r="J949" s="24"/>
      <c r="K949" s="24"/>
      <c r="L949" s="24"/>
      <c r="M949" s="24"/>
      <c r="N949" s="24"/>
      <c r="O949" s="24"/>
      <c r="P949" s="24"/>
    </row>
    <row r="950" spans="8:16" x14ac:dyDescent="0.25">
      <c r="H950" s="24"/>
      <c r="I950" s="24"/>
      <c r="J950" s="24"/>
      <c r="K950" s="24"/>
      <c r="L950" s="24"/>
      <c r="M950" s="24"/>
      <c r="N950" s="24"/>
      <c r="O950" s="24"/>
      <c r="P950" s="24"/>
    </row>
    <row r="951" spans="8:16" x14ac:dyDescent="0.25">
      <c r="H951" s="24"/>
      <c r="I951" s="24"/>
      <c r="J951" s="24"/>
      <c r="K951" s="24"/>
      <c r="L951" s="24"/>
      <c r="M951" s="24"/>
      <c r="N951" s="24"/>
      <c r="O951" s="24"/>
      <c r="P951" s="24"/>
    </row>
    <row r="952" spans="8:16" x14ac:dyDescent="0.25">
      <c r="H952" s="24"/>
      <c r="I952" s="24"/>
      <c r="J952" s="24"/>
      <c r="K952" s="24"/>
      <c r="L952" s="24"/>
      <c r="M952" s="24"/>
      <c r="N952" s="24"/>
      <c r="O952" s="24"/>
      <c r="P952" s="24"/>
    </row>
    <row r="953" spans="8:16" x14ac:dyDescent="0.25">
      <c r="H953" s="24"/>
      <c r="I953" s="24"/>
      <c r="J953" s="24"/>
      <c r="K953" s="24"/>
      <c r="L953" s="24"/>
      <c r="M953" s="24"/>
      <c r="N953" s="24"/>
      <c r="O953" s="24"/>
      <c r="P953" s="24"/>
    </row>
    <row r="954" spans="8:16" x14ac:dyDescent="0.25">
      <c r="H954" s="24"/>
      <c r="I954" s="24"/>
      <c r="J954" s="24"/>
      <c r="K954" s="24"/>
      <c r="L954" s="24"/>
      <c r="M954" s="24"/>
      <c r="N954" s="24"/>
      <c r="O954" s="24"/>
      <c r="P954" s="24"/>
    </row>
    <row r="955" spans="8:16" x14ac:dyDescent="0.25">
      <c r="H955" s="24"/>
      <c r="I955" s="24"/>
      <c r="J955" s="24"/>
      <c r="K955" s="24"/>
      <c r="L955" s="24"/>
      <c r="M955" s="24"/>
      <c r="N955" s="24"/>
      <c r="O955" s="24"/>
      <c r="P955" s="24"/>
    </row>
    <row r="956" spans="8:16" x14ac:dyDescent="0.25">
      <c r="H956" s="24"/>
      <c r="I956" s="24"/>
      <c r="J956" s="24"/>
      <c r="K956" s="24"/>
      <c r="L956" s="24"/>
      <c r="M956" s="24"/>
      <c r="N956" s="24"/>
      <c r="O956" s="24"/>
      <c r="P956" s="24"/>
    </row>
    <row r="957" spans="8:16" x14ac:dyDescent="0.25">
      <c r="H957" s="24"/>
      <c r="I957" s="24"/>
      <c r="J957" s="24"/>
      <c r="K957" s="24"/>
      <c r="L957" s="24"/>
      <c r="M957" s="24"/>
      <c r="N957" s="24"/>
      <c r="O957" s="24"/>
      <c r="P957" s="24"/>
    </row>
    <row r="958" spans="8:16" x14ac:dyDescent="0.25">
      <c r="H958" s="24"/>
      <c r="I958" s="24"/>
      <c r="J958" s="24"/>
      <c r="K958" s="24"/>
      <c r="L958" s="24"/>
      <c r="M958" s="24"/>
      <c r="N958" s="24"/>
      <c r="O958" s="24"/>
      <c r="P958" s="24"/>
    </row>
    <row r="959" spans="8:16" x14ac:dyDescent="0.25">
      <c r="H959" s="24"/>
      <c r="I959" s="24"/>
      <c r="J959" s="24"/>
      <c r="K959" s="24"/>
      <c r="L959" s="24"/>
      <c r="M959" s="24"/>
      <c r="N959" s="24"/>
      <c r="O959" s="24"/>
      <c r="P959" s="24"/>
    </row>
    <row r="960" spans="8:16" x14ac:dyDescent="0.25">
      <c r="H960" s="24"/>
      <c r="I960" s="24"/>
      <c r="J960" s="24"/>
      <c r="K960" s="24"/>
      <c r="L960" s="24"/>
      <c r="M960" s="24"/>
      <c r="N960" s="24"/>
      <c r="O960" s="24"/>
      <c r="P960" s="24"/>
    </row>
    <row r="961" spans="8:16" x14ac:dyDescent="0.25">
      <c r="H961" s="24"/>
      <c r="I961" s="24"/>
      <c r="J961" s="24"/>
      <c r="K961" s="24"/>
      <c r="L961" s="24"/>
      <c r="M961" s="24"/>
      <c r="N961" s="24"/>
      <c r="O961" s="24"/>
      <c r="P961" s="24"/>
    </row>
    <row r="962" spans="8:16" x14ac:dyDescent="0.25">
      <c r="H962" s="24"/>
      <c r="I962" s="24"/>
      <c r="J962" s="24"/>
      <c r="K962" s="24"/>
      <c r="L962" s="24"/>
      <c r="M962" s="24"/>
      <c r="N962" s="24"/>
      <c r="O962" s="24"/>
      <c r="P962" s="24"/>
    </row>
    <row r="963" spans="8:16" x14ac:dyDescent="0.25">
      <c r="H963" s="24"/>
      <c r="I963" s="24"/>
      <c r="J963" s="24"/>
      <c r="K963" s="24"/>
      <c r="L963" s="24"/>
      <c r="M963" s="24"/>
      <c r="N963" s="24"/>
      <c r="O963" s="24"/>
      <c r="P963" s="24"/>
    </row>
    <row r="964" spans="8:16" x14ac:dyDescent="0.25">
      <c r="H964" s="24"/>
      <c r="I964" s="24"/>
      <c r="J964" s="24"/>
      <c r="K964" s="24"/>
      <c r="L964" s="24"/>
      <c r="M964" s="24"/>
      <c r="N964" s="24"/>
      <c r="O964" s="24"/>
      <c r="P964" s="24"/>
    </row>
    <row r="965" spans="8:16" x14ac:dyDescent="0.25">
      <c r="H965" s="24"/>
      <c r="I965" s="24"/>
      <c r="J965" s="24"/>
      <c r="K965" s="24"/>
      <c r="L965" s="24"/>
      <c r="M965" s="24"/>
      <c r="N965" s="24"/>
      <c r="O965" s="24"/>
      <c r="P965" s="24"/>
    </row>
    <row r="966" spans="8:16" x14ac:dyDescent="0.25">
      <c r="H966" s="24"/>
      <c r="I966" s="24"/>
      <c r="J966" s="24"/>
      <c r="K966" s="24"/>
      <c r="L966" s="24"/>
      <c r="M966" s="24"/>
      <c r="N966" s="24"/>
      <c r="O966" s="24"/>
      <c r="P966" s="24"/>
    </row>
    <row r="967" spans="8:16" x14ac:dyDescent="0.25">
      <c r="H967" s="24"/>
      <c r="I967" s="24"/>
      <c r="J967" s="24"/>
      <c r="K967" s="24"/>
      <c r="L967" s="24"/>
      <c r="M967" s="24"/>
      <c r="N967" s="24"/>
      <c r="O967" s="24"/>
      <c r="P967" s="24"/>
    </row>
    <row r="968" spans="8:16" x14ac:dyDescent="0.25">
      <c r="H968" s="24"/>
      <c r="I968" s="24"/>
      <c r="J968" s="24"/>
      <c r="K968" s="24"/>
      <c r="L968" s="24"/>
      <c r="M968" s="24"/>
      <c r="N968" s="24"/>
      <c r="O968" s="24"/>
      <c r="P968" s="24"/>
    </row>
    <row r="969" spans="8:16" x14ac:dyDescent="0.25">
      <c r="H969" s="24"/>
      <c r="I969" s="24"/>
      <c r="J969" s="24"/>
      <c r="K969" s="24"/>
      <c r="L969" s="24"/>
      <c r="M969" s="24"/>
      <c r="N969" s="24"/>
      <c r="O969" s="24"/>
      <c r="P969" s="24"/>
    </row>
    <row r="970" spans="8:16" x14ac:dyDescent="0.25">
      <c r="H970" s="24"/>
      <c r="I970" s="24"/>
      <c r="J970" s="24"/>
      <c r="K970" s="24"/>
      <c r="L970" s="24"/>
      <c r="M970" s="24"/>
      <c r="N970" s="24"/>
      <c r="O970" s="24"/>
      <c r="P970" s="24"/>
    </row>
    <row r="971" spans="8:16" x14ac:dyDescent="0.25">
      <c r="H971" s="24"/>
      <c r="I971" s="24"/>
      <c r="J971" s="24"/>
      <c r="K971" s="24"/>
      <c r="L971" s="24"/>
      <c r="M971" s="24"/>
      <c r="N971" s="24"/>
      <c r="O971" s="24"/>
      <c r="P971" s="24"/>
    </row>
    <row r="972" spans="8:16" x14ac:dyDescent="0.25">
      <c r="H972" s="24"/>
      <c r="I972" s="24"/>
      <c r="J972" s="24"/>
      <c r="K972" s="24"/>
      <c r="L972" s="24"/>
      <c r="M972" s="24"/>
      <c r="N972" s="24"/>
      <c r="O972" s="24"/>
      <c r="P972" s="24"/>
    </row>
    <row r="973" spans="8:16" x14ac:dyDescent="0.25">
      <c r="H973" s="24"/>
      <c r="I973" s="24"/>
      <c r="J973" s="24"/>
      <c r="K973" s="24"/>
      <c r="L973" s="24"/>
      <c r="M973" s="24"/>
      <c r="N973" s="24"/>
      <c r="O973" s="24"/>
      <c r="P973" s="24"/>
    </row>
    <row r="974" spans="8:16" x14ac:dyDescent="0.25">
      <c r="H974" s="24"/>
      <c r="I974" s="24"/>
      <c r="J974" s="24"/>
      <c r="K974" s="24"/>
      <c r="L974" s="24"/>
      <c r="M974" s="24"/>
      <c r="N974" s="24"/>
      <c r="O974" s="24"/>
      <c r="P974" s="24"/>
    </row>
    <row r="975" spans="8:16" x14ac:dyDescent="0.25">
      <c r="H975" s="24"/>
      <c r="I975" s="24"/>
      <c r="J975" s="24"/>
      <c r="K975" s="24"/>
      <c r="L975" s="24"/>
      <c r="M975" s="24"/>
      <c r="N975" s="24"/>
      <c r="O975" s="24"/>
      <c r="P975" s="24"/>
    </row>
    <row r="976" spans="8:16" x14ac:dyDescent="0.25">
      <c r="H976" s="24"/>
      <c r="I976" s="24"/>
      <c r="J976" s="24"/>
      <c r="K976" s="24"/>
      <c r="L976" s="24"/>
      <c r="M976" s="24"/>
      <c r="N976" s="24"/>
      <c r="O976" s="24"/>
      <c r="P976" s="24"/>
    </row>
    <row r="977" spans="8:16" x14ac:dyDescent="0.25">
      <c r="H977" s="24"/>
      <c r="I977" s="24"/>
      <c r="J977" s="24"/>
      <c r="K977" s="24"/>
      <c r="L977" s="24"/>
      <c r="M977" s="24"/>
      <c r="N977" s="24"/>
      <c r="O977" s="24"/>
      <c r="P977" s="24"/>
    </row>
    <row r="978" spans="8:16" x14ac:dyDescent="0.25">
      <c r="H978" s="24"/>
      <c r="I978" s="24"/>
      <c r="J978" s="24"/>
      <c r="K978" s="24"/>
      <c r="L978" s="24"/>
      <c r="M978" s="24"/>
      <c r="N978" s="24"/>
      <c r="O978" s="24"/>
      <c r="P978" s="24"/>
    </row>
    <row r="979" spans="8:16" x14ac:dyDescent="0.25">
      <c r="H979" s="24"/>
      <c r="I979" s="24"/>
      <c r="J979" s="24"/>
      <c r="K979" s="24"/>
      <c r="L979" s="24"/>
      <c r="M979" s="24"/>
      <c r="N979" s="24"/>
      <c r="O979" s="24"/>
      <c r="P979" s="24"/>
    </row>
    <row r="980" spans="8:16" x14ac:dyDescent="0.25">
      <c r="H980" s="24"/>
      <c r="I980" s="24"/>
      <c r="J980" s="24"/>
      <c r="K980" s="24"/>
      <c r="L980" s="24"/>
      <c r="M980" s="24"/>
      <c r="N980" s="24"/>
      <c r="O980" s="24"/>
      <c r="P980" s="24"/>
    </row>
    <row r="981" spans="8:16" x14ac:dyDescent="0.25">
      <c r="H981" s="24"/>
      <c r="I981" s="24"/>
      <c r="J981" s="24"/>
      <c r="K981" s="24"/>
      <c r="L981" s="24"/>
      <c r="M981" s="24"/>
      <c r="N981" s="24"/>
      <c r="O981" s="24"/>
      <c r="P981" s="24"/>
    </row>
    <row r="982" spans="8:16" x14ac:dyDescent="0.25">
      <c r="H982" s="24"/>
      <c r="I982" s="24"/>
      <c r="J982" s="24"/>
      <c r="K982" s="24"/>
      <c r="L982" s="24"/>
      <c r="M982" s="24"/>
      <c r="N982" s="24"/>
      <c r="O982" s="24"/>
      <c r="P982" s="24"/>
    </row>
    <row r="983" spans="8:16" x14ac:dyDescent="0.25">
      <c r="H983" s="24"/>
      <c r="I983" s="24"/>
      <c r="J983" s="24"/>
      <c r="K983" s="24"/>
      <c r="L983" s="24"/>
      <c r="M983" s="24"/>
      <c r="N983" s="24"/>
      <c r="O983" s="24"/>
      <c r="P983" s="24"/>
    </row>
    <row r="984" spans="8:16" x14ac:dyDescent="0.25">
      <c r="H984" s="24"/>
      <c r="I984" s="24"/>
      <c r="J984" s="24"/>
      <c r="K984" s="24"/>
      <c r="L984" s="24"/>
      <c r="M984" s="24"/>
      <c r="N984" s="24"/>
      <c r="O984" s="24"/>
      <c r="P984" s="24"/>
    </row>
    <row r="985" spans="8:16" x14ac:dyDescent="0.25">
      <c r="H985" s="24"/>
      <c r="I985" s="24"/>
      <c r="J985" s="24"/>
      <c r="K985" s="24"/>
      <c r="L985" s="24"/>
      <c r="M985" s="24"/>
      <c r="N985" s="24"/>
      <c r="O985" s="24"/>
      <c r="P985" s="24"/>
    </row>
    <row r="986" spans="8:16" x14ac:dyDescent="0.25">
      <c r="H986" s="24"/>
      <c r="I986" s="24"/>
      <c r="J986" s="24"/>
      <c r="K986" s="24"/>
      <c r="L986" s="24"/>
      <c r="M986" s="24"/>
      <c r="N986" s="24"/>
      <c r="O986" s="24"/>
      <c r="P986" s="24"/>
    </row>
    <row r="987" spans="8:16" x14ac:dyDescent="0.25">
      <c r="H987" s="24"/>
      <c r="I987" s="24"/>
      <c r="J987" s="24"/>
      <c r="K987" s="24"/>
      <c r="L987" s="24"/>
      <c r="M987" s="24"/>
      <c r="N987" s="24"/>
      <c r="O987" s="24"/>
      <c r="P987" s="24"/>
    </row>
    <row r="988" spans="8:16" x14ac:dyDescent="0.25">
      <c r="H988" s="24"/>
      <c r="I988" s="24"/>
      <c r="J988" s="24"/>
      <c r="K988" s="24"/>
      <c r="L988" s="24"/>
      <c r="M988" s="24"/>
      <c r="N988" s="24"/>
      <c r="O988" s="24"/>
      <c r="P988" s="24"/>
    </row>
    <row r="989" spans="8:16" x14ac:dyDescent="0.25">
      <c r="H989" s="24"/>
      <c r="I989" s="24"/>
      <c r="J989" s="24"/>
      <c r="K989" s="24"/>
      <c r="L989" s="24"/>
      <c r="M989" s="24"/>
      <c r="N989" s="24"/>
      <c r="O989" s="24"/>
      <c r="P989" s="24"/>
    </row>
    <row r="990" spans="8:16" x14ac:dyDescent="0.25">
      <c r="H990" s="24"/>
      <c r="I990" s="24"/>
      <c r="J990" s="24"/>
      <c r="K990" s="24"/>
      <c r="L990" s="24"/>
      <c r="M990" s="24"/>
      <c r="N990" s="24"/>
      <c r="O990" s="24"/>
      <c r="P990" s="24"/>
    </row>
    <row r="991" spans="8:16" x14ac:dyDescent="0.25">
      <c r="H991" s="24"/>
      <c r="I991" s="24"/>
      <c r="J991" s="24"/>
      <c r="K991" s="24"/>
      <c r="L991" s="24"/>
      <c r="M991" s="24"/>
      <c r="N991" s="24"/>
      <c r="O991" s="24"/>
      <c r="P991" s="24"/>
    </row>
    <row r="992" spans="8:16" x14ac:dyDescent="0.25">
      <c r="H992" s="24"/>
      <c r="I992" s="24"/>
      <c r="J992" s="24"/>
      <c r="K992" s="24"/>
      <c r="L992" s="24"/>
      <c r="M992" s="24"/>
      <c r="N992" s="24"/>
      <c r="O992" s="24"/>
      <c r="P992" s="24"/>
    </row>
    <row r="993" spans="8:16" x14ac:dyDescent="0.25">
      <c r="H993" s="24"/>
      <c r="I993" s="24"/>
      <c r="J993" s="24"/>
      <c r="K993" s="24"/>
      <c r="L993" s="24"/>
      <c r="M993" s="24"/>
      <c r="N993" s="24"/>
      <c r="O993" s="24"/>
      <c r="P993" s="24"/>
    </row>
    <row r="994" spans="8:16" x14ac:dyDescent="0.25">
      <c r="H994" s="24"/>
      <c r="I994" s="24"/>
      <c r="J994" s="24"/>
      <c r="K994" s="24"/>
      <c r="L994" s="24"/>
      <c r="M994" s="24"/>
      <c r="N994" s="24"/>
      <c r="O994" s="24"/>
      <c r="P994" s="24"/>
    </row>
    <row r="995" spans="8:16" x14ac:dyDescent="0.25">
      <c r="H995" s="24"/>
      <c r="I995" s="24"/>
      <c r="J995" s="24"/>
      <c r="K995" s="24"/>
      <c r="L995" s="24"/>
      <c r="M995" s="24"/>
      <c r="N995" s="24"/>
      <c r="O995" s="24"/>
      <c r="P995" s="24"/>
    </row>
    <row r="996" spans="8:16" x14ac:dyDescent="0.25">
      <c r="H996" s="24"/>
      <c r="I996" s="24"/>
      <c r="J996" s="24"/>
      <c r="K996" s="24"/>
      <c r="L996" s="24"/>
      <c r="M996" s="24"/>
      <c r="N996" s="24"/>
      <c r="O996" s="24"/>
      <c r="P996" s="24"/>
    </row>
    <row r="997" spans="8:16" x14ac:dyDescent="0.25">
      <c r="H997" s="24"/>
      <c r="I997" s="24"/>
      <c r="J997" s="24"/>
      <c r="K997" s="24"/>
      <c r="L997" s="24"/>
      <c r="M997" s="24"/>
      <c r="N997" s="24"/>
      <c r="O997" s="24"/>
      <c r="P997" s="24"/>
    </row>
    <row r="998" spans="8:16" x14ac:dyDescent="0.25">
      <c r="H998" s="24"/>
      <c r="I998" s="24"/>
      <c r="J998" s="24"/>
      <c r="K998" s="24"/>
      <c r="L998" s="24"/>
      <c r="M998" s="24"/>
      <c r="N998" s="24"/>
      <c r="O998" s="24"/>
      <c r="P998" s="24"/>
    </row>
    <row r="999" spans="8:16" x14ac:dyDescent="0.25">
      <c r="H999" s="24"/>
      <c r="I999" s="24"/>
      <c r="J999" s="24"/>
      <c r="K999" s="24"/>
      <c r="L999" s="24"/>
      <c r="M999" s="24"/>
      <c r="N999" s="24"/>
      <c r="O999" s="24"/>
      <c r="P999" s="24"/>
    </row>
    <row r="1000" spans="8:16" x14ac:dyDescent="0.25">
      <c r="H1000" s="24"/>
      <c r="I1000" s="24"/>
      <c r="J1000" s="24"/>
      <c r="K1000" s="24"/>
      <c r="L1000" s="24"/>
      <c r="M1000" s="24"/>
      <c r="N1000" s="24"/>
      <c r="O1000" s="24"/>
      <c r="P1000" s="24"/>
    </row>
    <row r="1001" spans="8:16" x14ac:dyDescent="0.25">
      <c r="H1001" s="24"/>
      <c r="I1001" s="24"/>
      <c r="J1001" s="24"/>
      <c r="K1001" s="24"/>
      <c r="L1001" s="24"/>
      <c r="M1001" s="24"/>
      <c r="N1001" s="24"/>
      <c r="O1001" s="24"/>
      <c r="P1001" s="24"/>
    </row>
    <row r="1002" spans="8:16" x14ac:dyDescent="0.25">
      <c r="H1002" s="24"/>
      <c r="I1002" s="24"/>
      <c r="J1002" s="24"/>
      <c r="K1002" s="24"/>
      <c r="L1002" s="24"/>
      <c r="M1002" s="24"/>
      <c r="N1002" s="24"/>
      <c r="O1002" s="24"/>
      <c r="P1002" s="24"/>
    </row>
    <row r="1003" spans="8:16" x14ac:dyDescent="0.25">
      <c r="H1003" s="24"/>
      <c r="I1003" s="24"/>
      <c r="J1003" s="24"/>
      <c r="K1003" s="24"/>
      <c r="L1003" s="24"/>
      <c r="M1003" s="24"/>
      <c r="N1003" s="24"/>
      <c r="O1003" s="24"/>
      <c r="P1003" s="24"/>
    </row>
    <row r="1004" spans="8:16" x14ac:dyDescent="0.25">
      <c r="H1004" s="24"/>
      <c r="I1004" s="24"/>
      <c r="J1004" s="24"/>
      <c r="K1004" s="24"/>
      <c r="L1004" s="24"/>
      <c r="M1004" s="24"/>
      <c r="N1004" s="24"/>
      <c r="O1004" s="24"/>
      <c r="P1004" s="24"/>
    </row>
    <row r="1005" spans="8:16" x14ac:dyDescent="0.25">
      <c r="H1005" s="24"/>
      <c r="I1005" s="24"/>
      <c r="J1005" s="24"/>
      <c r="K1005" s="24"/>
      <c r="L1005" s="24"/>
      <c r="M1005" s="24"/>
      <c r="N1005" s="24"/>
      <c r="O1005" s="24"/>
      <c r="P1005" s="24"/>
    </row>
    <row r="1006" spans="8:16" x14ac:dyDescent="0.25">
      <c r="H1006" s="24"/>
      <c r="I1006" s="24"/>
      <c r="J1006" s="24"/>
      <c r="K1006" s="24"/>
      <c r="L1006" s="24"/>
      <c r="M1006" s="24"/>
      <c r="N1006" s="24"/>
      <c r="O1006" s="24"/>
      <c r="P1006" s="24"/>
    </row>
    <row r="1007" spans="8:16" x14ac:dyDescent="0.25">
      <c r="H1007" s="24"/>
      <c r="I1007" s="24"/>
      <c r="J1007" s="24"/>
      <c r="K1007" s="24"/>
      <c r="L1007" s="24"/>
      <c r="M1007" s="24"/>
      <c r="N1007" s="24"/>
      <c r="O1007" s="24"/>
      <c r="P1007" s="24"/>
    </row>
    <row r="1008" spans="8:16" x14ac:dyDescent="0.25">
      <c r="H1008" s="24"/>
      <c r="I1008" s="24"/>
      <c r="J1008" s="24"/>
      <c r="K1008" s="24"/>
      <c r="L1008" s="24"/>
      <c r="M1008" s="24"/>
      <c r="N1008" s="24"/>
      <c r="O1008" s="24"/>
      <c r="P1008" s="24"/>
    </row>
    <row r="1009" spans="8:16" x14ac:dyDescent="0.25">
      <c r="H1009" s="24"/>
      <c r="I1009" s="24"/>
      <c r="J1009" s="24"/>
      <c r="K1009" s="24"/>
      <c r="L1009" s="24"/>
      <c r="M1009" s="24"/>
      <c r="N1009" s="24"/>
      <c r="O1009" s="24"/>
      <c r="P1009" s="24"/>
    </row>
    <row r="1010" spans="8:16" x14ac:dyDescent="0.25">
      <c r="H1010" s="24"/>
      <c r="I1010" s="24"/>
      <c r="J1010" s="24"/>
      <c r="K1010" s="24"/>
      <c r="L1010" s="24"/>
      <c r="M1010" s="24"/>
      <c r="N1010" s="24"/>
      <c r="O1010" s="24"/>
      <c r="P1010" s="24"/>
    </row>
    <row r="1011" spans="8:16" x14ac:dyDescent="0.25">
      <c r="H1011" s="24"/>
      <c r="I1011" s="24"/>
      <c r="J1011" s="24"/>
      <c r="K1011" s="24"/>
      <c r="L1011" s="24"/>
      <c r="M1011" s="24"/>
      <c r="N1011" s="24"/>
      <c r="O1011" s="24"/>
      <c r="P1011" s="24"/>
    </row>
    <row r="1012" spans="8:16" x14ac:dyDescent="0.25">
      <c r="H1012" s="24"/>
      <c r="I1012" s="24"/>
      <c r="J1012" s="24"/>
      <c r="K1012" s="24"/>
      <c r="L1012" s="24"/>
      <c r="M1012" s="24"/>
      <c r="N1012" s="24"/>
      <c r="O1012" s="24"/>
      <c r="P1012" s="24"/>
    </row>
    <row r="1013" spans="8:16" x14ac:dyDescent="0.25">
      <c r="H1013" s="24"/>
      <c r="I1013" s="24"/>
      <c r="J1013" s="24"/>
      <c r="K1013" s="24"/>
      <c r="L1013" s="24"/>
      <c r="M1013" s="24"/>
      <c r="N1013" s="24"/>
      <c r="O1013" s="24"/>
      <c r="P1013" s="24"/>
    </row>
    <row r="1014" spans="8:16" x14ac:dyDescent="0.25">
      <c r="H1014" s="24"/>
      <c r="I1014" s="24"/>
      <c r="J1014" s="24"/>
      <c r="K1014" s="24"/>
      <c r="L1014" s="24"/>
      <c r="M1014" s="24"/>
      <c r="N1014" s="24"/>
      <c r="O1014" s="24"/>
      <c r="P1014" s="24"/>
    </row>
    <row r="1015" spans="8:16" x14ac:dyDescent="0.25">
      <c r="H1015" s="24"/>
      <c r="I1015" s="24"/>
      <c r="J1015" s="24"/>
      <c r="K1015" s="24"/>
      <c r="L1015" s="24"/>
      <c r="M1015" s="24"/>
      <c r="N1015" s="24"/>
      <c r="O1015" s="24"/>
      <c r="P1015" s="24"/>
    </row>
    <row r="1016" spans="8:16" x14ac:dyDescent="0.25">
      <c r="H1016" s="24"/>
      <c r="I1016" s="24"/>
      <c r="J1016" s="24"/>
      <c r="K1016" s="24"/>
      <c r="L1016" s="24"/>
      <c r="M1016" s="24"/>
      <c r="N1016" s="24"/>
      <c r="O1016" s="24"/>
      <c r="P1016" s="24"/>
    </row>
    <row r="1017" spans="8:16" x14ac:dyDescent="0.25">
      <c r="H1017" s="24"/>
      <c r="I1017" s="24"/>
      <c r="J1017" s="24"/>
      <c r="K1017" s="24"/>
      <c r="L1017" s="24"/>
      <c r="M1017" s="24"/>
      <c r="N1017" s="24"/>
      <c r="O1017" s="24"/>
      <c r="P1017" s="24"/>
    </row>
    <row r="1018" spans="8:16" x14ac:dyDescent="0.25">
      <c r="H1018" s="24"/>
      <c r="I1018" s="24"/>
      <c r="J1018" s="24"/>
      <c r="K1018" s="24"/>
      <c r="L1018" s="24"/>
      <c r="M1018" s="24"/>
      <c r="N1018" s="24"/>
      <c r="O1018" s="24"/>
      <c r="P1018" s="24"/>
    </row>
    <row r="1019" spans="8:16" x14ac:dyDescent="0.25">
      <c r="H1019" s="24"/>
      <c r="I1019" s="24"/>
      <c r="J1019" s="24"/>
      <c r="K1019" s="24"/>
      <c r="L1019" s="24"/>
      <c r="M1019" s="24"/>
      <c r="N1019" s="24"/>
      <c r="O1019" s="24"/>
      <c r="P1019" s="24"/>
    </row>
    <row r="1020" spans="8:16" x14ac:dyDescent="0.25">
      <c r="H1020" s="24"/>
      <c r="I1020" s="24"/>
      <c r="J1020" s="24"/>
      <c r="K1020" s="24"/>
      <c r="L1020" s="24"/>
      <c r="M1020" s="24"/>
      <c r="N1020" s="24"/>
      <c r="O1020" s="24"/>
      <c r="P1020" s="24"/>
    </row>
    <row r="1021" spans="8:16" x14ac:dyDescent="0.25">
      <c r="H1021" s="24"/>
      <c r="I1021" s="24"/>
      <c r="J1021" s="24"/>
      <c r="K1021" s="24"/>
      <c r="L1021" s="24"/>
      <c r="M1021" s="24"/>
      <c r="N1021" s="24"/>
      <c r="O1021" s="24"/>
      <c r="P1021" s="24"/>
    </row>
    <row r="1022" spans="8:16" x14ac:dyDescent="0.25">
      <c r="H1022" s="24"/>
      <c r="I1022" s="24"/>
      <c r="J1022" s="24"/>
      <c r="K1022" s="24"/>
      <c r="L1022" s="24"/>
      <c r="M1022" s="24"/>
      <c r="N1022" s="24"/>
      <c r="O1022" s="24"/>
      <c r="P1022" s="24"/>
    </row>
    <row r="1023" spans="8:16" x14ac:dyDescent="0.25">
      <c r="H1023" s="24"/>
      <c r="I1023" s="24"/>
      <c r="J1023" s="24"/>
      <c r="K1023" s="24"/>
      <c r="L1023" s="24"/>
      <c r="M1023" s="24"/>
      <c r="N1023" s="24"/>
      <c r="O1023" s="24"/>
      <c r="P1023" s="24"/>
    </row>
    <row r="1024" spans="8:16" x14ac:dyDescent="0.25">
      <c r="H1024" s="24"/>
      <c r="I1024" s="24"/>
      <c r="J1024" s="24"/>
      <c r="K1024" s="24"/>
      <c r="L1024" s="24"/>
      <c r="M1024" s="24"/>
      <c r="N1024" s="24"/>
      <c r="O1024" s="24"/>
      <c r="P1024" s="24"/>
    </row>
    <row r="1025" spans="8:16" x14ac:dyDescent="0.25">
      <c r="H1025" s="24"/>
      <c r="I1025" s="24"/>
      <c r="J1025" s="24"/>
      <c r="K1025" s="24"/>
      <c r="L1025" s="24"/>
      <c r="M1025" s="24"/>
      <c r="N1025" s="24"/>
      <c r="O1025" s="24"/>
      <c r="P1025" s="24"/>
    </row>
    <row r="1026" spans="8:16" x14ac:dyDescent="0.25">
      <c r="H1026" s="24"/>
      <c r="I1026" s="24"/>
      <c r="J1026" s="24"/>
      <c r="K1026" s="24"/>
      <c r="L1026" s="24"/>
      <c r="M1026" s="24"/>
      <c r="N1026" s="24"/>
      <c r="O1026" s="24"/>
      <c r="P1026" s="24"/>
    </row>
    <row r="1027" spans="8:16" x14ac:dyDescent="0.25">
      <c r="H1027" s="24"/>
      <c r="I1027" s="24"/>
      <c r="J1027" s="24"/>
      <c r="K1027" s="24"/>
      <c r="L1027" s="24"/>
      <c r="M1027" s="24"/>
      <c r="N1027" s="24"/>
      <c r="O1027" s="24"/>
      <c r="P1027" s="24"/>
    </row>
    <row r="1028" spans="8:16" x14ac:dyDescent="0.25">
      <c r="H1028" s="24"/>
      <c r="I1028" s="24"/>
      <c r="J1028" s="24"/>
      <c r="K1028" s="24"/>
      <c r="L1028" s="24"/>
      <c r="M1028" s="24"/>
      <c r="N1028" s="24"/>
      <c r="O1028" s="24"/>
      <c r="P1028" s="24"/>
    </row>
    <row r="1029" spans="8:16" x14ac:dyDescent="0.25">
      <c r="H1029" s="24"/>
      <c r="I1029" s="24"/>
      <c r="J1029" s="24"/>
      <c r="K1029" s="24"/>
      <c r="L1029" s="24"/>
      <c r="M1029" s="24"/>
      <c r="N1029" s="24"/>
      <c r="O1029" s="24"/>
      <c r="P1029" s="24"/>
    </row>
    <row r="1030" spans="8:16" x14ac:dyDescent="0.25">
      <c r="H1030" s="24"/>
      <c r="I1030" s="24"/>
      <c r="J1030" s="24"/>
      <c r="K1030" s="24"/>
      <c r="L1030" s="24"/>
      <c r="M1030" s="24"/>
      <c r="N1030" s="24"/>
      <c r="O1030" s="24"/>
      <c r="P1030" s="24"/>
    </row>
    <row r="1031" spans="8:16" x14ac:dyDescent="0.25">
      <c r="H1031" s="24"/>
      <c r="I1031" s="24"/>
      <c r="J1031" s="24"/>
      <c r="K1031" s="24"/>
      <c r="L1031" s="24"/>
      <c r="M1031" s="24"/>
      <c r="N1031" s="24"/>
      <c r="O1031" s="24"/>
      <c r="P1031" s="24"/>
    </row>
    <row r="1032" spans="8:16" x14ac:dyDescent="0.25">
      <c r="H1032" s="24"/>
      <c r="I1032" s="24"/>
      <c r="J1032" s="24"/>
      <c r="K1032" s="24"/>
      <c r="L1032" s="24"/>
      <c r="M1032" s="24"/>
      <c r="N1032" s="24"/>
      <c r="O1032" s="24"/>
      <c r="P1032" s="24"/>
    </row>
    <row r="1033" spans="8:16" x14ac:dyDescent="0.25">
      <c r="H1033" s="24"/>
      <c r="I1033" s="24"/>
      <c r="J1033" s="24"/>
      <c r="K1033" s="24"/>
      <c r="L1033" s="24"/>
      <c r="M1033" s="24"/>
      <c r="N1033" s="24"/>
      <c r="O1033" s="24"/>
      <c r="P1033" s="24"/>
    </row>
    <row r="1034" spans="8:16" x14ac:dyDescent="0.25">
      <c r="H1034" s="24"/>
      <c r="I1034" s="24"/>
      <c r="J1034" s="24"/>
      <c r="K1034" s="24"/>
      <c r="L1034" s="24"/>
      <c r="M1034" s="24"/>
      <c r="N1034" s="24"/>
      <c r="O1034" s="24"/>
      <c r="P1034" s="24"/>
    </row>
    <row r="1035" spans="8:16" x14ac:dyDescent="0.25">
      <c r="H1035" s="24"/>
      <c r="I1035" s="24"/>
      <c r="J1035" s="24"/>
      <c r="K1035" s="24"/>
      <c r="L1035" s="24"/>
      <c r="M1035" s="24"/>
      <c r="N1035" s="24"/>
      <c r="O1035" s="24"/>
      <c r="P1035" s="24"/>
    </row>
    <row r="1036" spans="8:16" x14ac:dyDescent="0.25">
      <c r="H1036" s="24"/>
      <c r="I1036" s="24"/>
      <c r="J1036" s="24"/>
      <c r="K1036" s="24"/>
      <c r="L1036" s="24"/>
      <c r="M1036" s="24"/>
      <c r="N1036" s="24"/>
      <c r="O1036" s="24"/>
      <c r="P1036" s="24"/>
    </row>
    <row r="1037" spans="8:16" x14ac:dyDescent="0.25">
      <c r="H1037" s="24"/>
      <c r="I1037" s="24"/>
      <c r="J1037" s="24"/>
      <c r="K1037" s="24"/>
      <c r="L1037" s="24"/>
      <c r="M1037" s="24"/>
      <c r="N1037" s="24"/>
      <c r="O1037" s="24"/>
      <c r="P1037" s="24"/>
    </row>
    <row r="1038" spans="8:16" x14ac:dyDescent="0.25">
      <c r="H1038" s="24"/>
      <c r="I1038" s="24"/>
      <c r="J1038" s="24"/>
      <c r="K1038" s="24"/>
      <c r="L1038" s="24"/>
      <c r="M1038" s="24"/>
      <c r="N1038" s="24"/>
      <c r="O1038" s="24"/>
      <c r="P1038" s="24"/>
    </row>
    <row r="1039" spans="8:16" x14ac:dyDescent="0.25">
      <c r="H1039" s="24"/>
      <c r="I1039" s="24"/>
      <c r="J1039" s="24"/>
      <c r="K1039" s="24"/>
      <c r="L1039" s="24"/>
      <c r="M1039" s="24"/>
      <c r="N1039" s="24"/>
      <c r="O1039" s="24"/>
      <c r="P1039" s="24"/>
    </row>
  </sheetData>
  <autoFilter ref="A1:G980" xr:uid="{00000000-0001-0000-0200-000000000000}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972">
    <tabColor rgb="FFFFCCFF"/>
  </sheetPr>
  <dimension ref="A1:O318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ColWidth="8.42578125" defaultRowHeight="12.75" x14ac:dyDescent="0.2"/>
  <cols>
    <col min="1" max="1" width="11.140625" style="17" customWidth="1"/>
    <col min="2" max="2" width="12" style="18" customWidth="1"/>
    <col min="3" max="3" width="45.85546875" customWidth="1"/>
    <col min="4" max="4" width="12" customWidth="1"/>
    <col min="5" max="6" width="3.140625" customWidth="1"/>
    <col min="7" max="7" width="74.7109375" customWidth="1"/>
    <col min="8" max="8" width="10.42578125" customWidth="1"/>
    <col min="9" max="9" width="9.5703125" customWidth="1"/>
    <col min="10" max="11" width="12.28515625" customWidth="1"/>
    <col min="12" max="12" width="47.42578125" customWidth="1"/>
    <col min="13" max="13" width="12.140625" customWidth="1"/>
  </cols>
  <sheetData>
    <row r="1" spans="1:15" ht="18" x14ac:dyDescent="0.25">
      <c r="A1" s="38" t="s">
        <v>1</v>
      </c>
      <c r="B1" s="38" t="s">
        <v>2</v>
      </c>
      <c r="C1" s="38"/>
      <c r="D1" s="39" t="s">
        <v>15</v>
      </c>
      <c r="E1" s="40"/>
      <c r="F1" s="115"/>
      <c r="G1" s="91" t="s">
        <v>37</v>
      </c>
      <c r="H1" s="111" t="s">
        <v>56</v>
      </c>
      <c r="I1" s="102">
        <f>(COUNTA(A1:A1885) - (COUNTA(D1:D1885)))</f>
        <v>0</v>
      </c>
      <c r="J1" s="24"/>
      <c r="K1" s="24"/>
      <c r="L1" s="24"/>
      <c r="M1" s="24"/>
      <c r="N1" s="24"/>
      <c r="O1" s="24"/>
    </row>
    <row r="2" spans="1:15" x14ac:dyDescent="0.2">
      <c r="A2" s="14"/>
      <c r="B2" s="15"/>
      <c r="J2" s="24"/>
      <c r="K2" s="24"/>
      <c r="L2" s="24"/>
      <c r="M2" s="24"/>
      <c r="N2" s="24"/>
      <c r="O2" s="24"/>
    </row>
    <row r="3" spans="1:15" x14ac:dyDescent="0.2">
      <c r="A3" s="14"/>
      <c r="B3" s="26"/>
      <c r="J3" s="24"/>
      <c r="K3" s="24"/>
      <c r="L3" s="24"/>
      <c r="M3" s="24"/>
      <c r="N3" s="24"/>
      <c r="O3" s="24"/>
    </row>
    <row r="4" spans="1:15" x14ac:dyDescent="0.2">
      <c r="A4" s="14"/>
      <c r="B4" s="26"/>
      <c r="J4" s="24"/>
      <c r="K4" s="24"/>
      <c r="L4" s="24"/>
      <c r="M4" s="24"/>
      <c r="N4" s="24"/>
      <c r="O4" s="24"/>
    </row>
    <row r="5" spans="1:15" x14ac:dyDescent="0.2">
      <c r="A5" s="14"/>
      <c r="B5" s="26"/>
      <c r="J5" s="24"/>
      <c r="K5" s="24"/>
      <c r="L5" s="24"/>
      <c r="M5" s="24"/>
      <c r="N5" s="24"/>
      <c r="O5" s="24"/>
    </row>
    <row r="6" spans="1:15" x14ac:dyDescent="0.2">
      <c r="A6" s="14"/>
      <c r="B6" s="26"/>
      <c r="J6" s="24"/>
      <c r="K6" s="24"/>
      <c r="L6" s="24"/>
      <c r="M6" s="24"/>
      <c r="N6" s="24"/>
      <c r="O6" s="24"/>
    </row>
    <row r="7" spans="1:15" x14ac:dyDescent="0.2">
      <c r="A7" s="14"/>
      <c r="B7" s="26"/>
      <c r="J7" s="24"/>
      <c r="K7" s="24"/>
      <c r="L7" s="24"/>
      <c r="M7" s="24"/>
      <c r="N7" s="24"/>
      <c r="O7" s="24"/>
    </row>
    <row r="8" spans="1:15" x14ac:dyDescent="0.2">
      <c r="A8" s="14"/>
      <c r="B8" s="26"/>
      <c r="J8" s="24"/>
      <c r="K8" s="24"/>
      <c r="L8" s="24"/>
      <c r="M8" s="24"/>
      <c r="N8" s="24"/>
      <c r="O8" s="24"/>
    </row>
    <row r="9" spans="1:15" x14ac:dyDescent="0.2">
      <c r="A9" s="14"/>
      <c r="B9" s="26"/>
      <c r="J9" s="24"/>
      <c r="K9" s="24"/>
      <c r="L9" s="24"/>
      <c r="M9" s="24"/>
      <c r="N9" s="24"/>
      <c r="O9" s="24"/>
    </row>
    <row r="10" spans="1:15" x14ac:dyDescent="0.2">
      <c r="A10" s="14"/>
      <c r="B10" s="26"/>
      <c r="J10" s="24"/>
      <c r="K10" s="24"/>
      <c r="L10" s="24"/>
      <c r="M10" s="24"/>
      <c r="N10" s="24"/>
      <c r="O10" s="24"/>
    </row>
    <row r="11" spans="1:15" x14ac:dyDescent="0.2">
      <c r="A11" s="14"/>
      <c r="B11" s="26"/>
      <c r="J11" s="24"/>
      <c r="K11" s="24"/>
      <c r="L11" s="24"/>
      <c r="M11" s="24"/>
      <c r="N11" s="24"/>
      <c r="O11" s="24"/>
    </row>
    <row r="12" spans="1:15" x14ac:dyDescent="0.2">
      <c r="A12" s="14"/>
      <c r="B12" s="26"/>
      <c r="J12" s="24"/>
      <c r="K12" s="24"/>
      <c r="L12" s="24"/>
      <c r="M12" s="24"/>
      <c r="N12" s="24"/>
      <c r="O12" s="24"/>
    </row>
    <row r="13" spans="1:15" x14ac:dyDescent="0.2">
      <c r="A13" s="14"/>
      <c r="B13" s="26"/>
      <c r="J13" s="24"/>
      <c r="K13" s="24"/>
      <c r="L13" s="24"/>
      <c r="M13" s="24"/>
      <c r="N13" s="24"/>
      <c r="O13" s="24"/>
    </row>
    <row r="14" spans="1:15" x14ac:dyDescent="0.2">
      <c r="A14" s="14"/>
      <c r="B14" s="26"/>
      <c r="J14" s="24"/>
      <c r="K14" s="24"/>
      <c r="L14" s="24"/>
      <c r="M14" s="24"/>
      <c r="N14" s="24"/>
      <c r="O14" s="24"/>
    </row>
    <row r="15" spans="1:15" x14ac:dyDescent="0.2">
      <c r="A15" s="14"/>
      <c r="B15" s="26"/>
      <c r="J15" s="24"/>
      <c r="K15" s="24"/>
      <c r="L15" s="24"/>
      <c r="M15" s="24"/>
      <c r="N15" s="24"/>
      <c r="O15" s="24"/>
    </row>
    <row r="16" spans="1:15" x14ac:dyDescent="0.2">
      <c r="A16" s="14"/>
      <c r="B16" s="26"/>
      <c r="J16" s="24"/>
      <c r="K16" s="24"/>
      <c r="L16" s="24"/>
      <c r="M16" s="24"/>
      <c r="N16" s="24"/>
      <c r="O16" s="24"/>
    </row>
    <row r="17" spans="1:15" x14ac:dyDescent="0.2">
      <c r="A17" s="14"/>
      <c r="B17" s="26"/>
      <c r="J17" s="24"/>
      <c r="K17" s="24"/>
      <c r="L17" s="24"/>
      <c r="M17" s="24"/>
      <c r="N17" s="24"/>
      <c r="O17" s="24"/>
    </row>
    <row r="18" spans="1:15" x14ac:dyDescent="0.2">
      <c r="A18" s="14"/>
      <c r="B18" s="26"/>
      <c r="J18" s="24"/>
      <c r="K18" s="24"/>
      <c r="L18" s="24"/>
      <c r="M18" s="24"/>
      <c r="N18" s="24"/>
      <c r="O18" s="24"/>
    </row>
    <row r="19" spans="1:15" x14ac:dyDescent="0.2">
      <c r="A19" s="14"/>
      <c r="B19" s="26"/>
      <c r="J19" s="24"/>
      <c r="K19" s="24"/>
      <c r="L19" s="24"/>
      <c r="M19" s="24"/>
      <c r="N19" s="24"/>
      <c r="O19" s="24"/>
    </row>
    <row r="20" spans="1:15" x14ac:dyDescent="0.2">
      <c r="A20" s="14"/>
      <c r="B20" s="26"/>
      <c r="J20" s="24"/>
      <c r="K20" s="24"/>
      <c r="L20" s="24"/>
      <c r="M20" s="24"/>
      <c r="N20" s="24"/>
      <c r="O20" s="24"/>
    </row>
    <row r="21" spans="1:15" x14ac:dyDescent="0.2">
      <c r="A21" s="14"/>
      <c r="B21" s="26"/>
      <c r="J21" s="24"/>
      <c r="K21" s="24"/>
      <c r="L21" s="24"/>
      <c r="M21" s="24"/>
      <c r="N21" s="24"/>
      <c r="O21" s="24"/>
    </row>
    <row r="22" spans="1:15" x14ac:dyDescent="0.2">
      <c r="A22" s="14"/>
      <c r="B22" s="26"/>
      <c r="J22" s="24"/>
      <c r="K22" s="24"/>
      <c r="L22" s="24"/>
      <c r="M22" s="24"/>
      <c r="N22" s="24"/>
      <c r="O22" s="24"/>
    </row>
    <row r="23" spans="1:15" x14ac:dyDescent="0.2">
      <c r="A23" s="14"/>
      <c r="B23" s="26"/>
      <c r="J23" s="24"/>
      <c r="K23" s="24"/>
      <c r="L23" s="24"/>
      <c r="M23" s="24"/>
      <c r="N23" s="24"/>
      <c r="O23" s="24"/>
    </row>
    <row r="24" spans="1:15" x14ac:dyDescent="0.2">
      <c r="A24" s="14"/>
      <c r="B24" s="26"/>
      <c r="J24" s="24"/>
      <c r="K24" s="24"/>
      <c r="L24" s="24"/>
      <c r="M24" s="24"/>
      <c r="N24" s="24"/>
      <c r="O24" s="24"/>
    </row>
    <row r="25" spans="1:15" x14ac:dyDescent="0.2">
      <c r="A25" s="14"/>
      <c r="B25" s="26"/>
      <c r="J25" s="24"/>
      <c r="K25" s="24"/>
      <c r="L25" s="24"/>
      <c r="M25" s="24"/>
      <c r="N25" s="24"/>
      <c r="O25" s="24"/>
    </row>
    <row r="26" spans="1:15" x14ac:dyDescent="0.2">
      <c r="A26" s="14"/>
      <c r="B26" s="26"/>
      <c r="J26" s="24"/>
      <c r="K26" s="24"/>
      <c r="L26" s="24"/>
      <c r="M26" s="24"/>
      <c r="N26" s="24"/>
      <c r="O26" s="24"/>
    </row>
    <row r="27" spans="1:15" x14ac:dyDescent="0.2">
      <c r="A27" s="14"/>
      <c r="B27" s="26"/>
      <c r="J27" s="24"/>
      <c r="K27" s="24"/>
      <c r="L27" s="24"/>
      <c r="M27" s="24"/>
      <c r="N27" s="24"/>
      <c r="O27" s="24"/>
    </row>
    <row r="28" spans="1:15" x14ac:dyDescent="0.2">
      <c r="A28" s="14"/>
      <c r="B28" s="26"/>
      <c r="J28" s="24"/>
      <c r="K28" s="24"/>
      <c r="L28" s="24"/>
      <c r="M28" s="24"/>
      <c r="N28" s="24"/>
      <c r="O28" s="24"/>
    </row>
    <row r="29" spans="1:15" x14ac:dyDescent="0.2">
      <c r="A29" s="14"/>
      <c r="B29" s="26"/>
      <c r="J29" s="24"/>
      <c r="K29" s="24"/>
      <c r="L29" s="24"/>
      <c r="M29" s="24"/>
      <c r="N29" s="24"/>
      <c r="O29" s="24"/>
    </row>
    <row r="30" spans="1:15" x14ac:dyDescent="0.2">
      <c r="A30" s="14"/>
      <c r="B30" s="26"/>
      <c r="J30" s="24"/>
      <c r="K30" s="24"/>
      <c r="L30" s="24"/>
      <c r="M30" s="24"/>
      <c r="N30" s="24"/>
      <c r="O30" s="24"/>
    </row>
    <row r="31" spans="1:15" x14ac:dyDescent="0.2">
      <c r="A31" s="14"/>
      <c r="B31" s="26"/>
      <c r="J31" s="24"/>
      <c r="K31" s="24"/>
      <c r="L31" s="24"/>
      <c r="M31" s="24"/>
      <c r="N31" s="24"/>
      <c r="O31" s="24"/>
    </row>
    <row r="32" spans="1:15" x14ac:dyDescent="0.2">
      <c r="A32" s="14"/>
      <c r="B32" s="26"/>
      <c r="J32" s="24"/>
      <c r="K32" s="24"/>
      <c r="L32" s="24"/>
      <c r="M32" s="24"/>
      <c r="N32" s="24"/>
      <c r="O32" s="24"/>
    </row>
    <row r="33" spans="1:15" x14ac:dyDescent="0.2">
      <c r="A33" s="14"/>
      <c r="B33" s="26"/>
      <c r="J33" s="24"/>
      <c r="K33" s="24"/>
      <c r="L33" s="24"/>
      <c r="M33" s="24"/>
      <c r="N33" s="24"/>
      <c r="O33" s="24"/>
    </row>
    <row r="34" spans="1:15" x14ac:dyDescent="0.2">
      <c r="A34" s="14"/>
      <c r="B34" s="26"/>
      <c r="J34" s="24"/>
      <c r="K34" s="24"/>
      <c r="L34" s="24"/>
      <c r="M34" s="24"/>
      <c r="N34" s="24"/>
      <c r="O34" s="24"/>
    </row>
    <row r="35" spans="1:15" x14ac:dyDescent="0.2">
      <c r="A35" s="14"/>
      <c r="B35" s="26"/>
      <c r="J35" s="24"/>
      <c r="K35" s="24"/>
      <c r="L35" s="24"/>
      <c r="M35" s="24"/>
      <c r="N35" s="24"/>
      <c r="O35" s="24"/>
    </row>
    <row r="36" spans="1:15" x14ac:dyDescent="0.2">
      <c r="A36" s="14"/>
      <c r="B36" s="26"/>
      <c r="J36" s="24"/>
      <c r="K36" s="24"/>
      <c r="L36" s="24"/>
      <c r="M36" s="24"/>
      <c r="N36" s="24"/>
      <c r="O36" s="24"/>
    </row>
    <row r="37" spans="1:15" x14ac:dyDescent="0.2">
      <c r="A37" s="14"/>
      <c r="B37" s="26"/>
      <c r="J37" s="24"/>
      <c r="K37" s="24"/>
      <c r="L37" s="24"/>
      <c r="M37" s="24"/>
      <c r="N37" s="24"/>
      <c r="O37" s="24"/>
    </row>
    <row r="38" spans="1:15" x14ac:dyDescent="0.2">
      <c r="A38" s="14"/>
      <c r="B38" s="26"/>
      <c r="J38" s="24"/>
      <c r="K38" s="24"/>
      <c r="L38" s="24"/>
      <c r="M38" s="24"/>
      <c r="N38" s="24"/>
      <c r="O38" s="24"/>
    </row>
    <row r="39" spans="1:15" x14ac:dyDescent="0.2">
      <c r="A39" s="14"/>
      <c r="B39" s="26"/>
      <c r="J39" s="24"/>
      <c r="K39" s="24"/>
      <c r="L39" s="24"/>
      <c r="M39" s="24"/>
      <c r="N39" s="24"/>
      <c r="O39" s="24"/>
    </row>
    <row r="40" spans="1:15" x14ac:dyDescent="0.2">
      <c r="A40" s="14"/>
      <c r="B40" s="26"/>
      <c r="J40" s="24"/>
      <c r="K40" s="24"/>
      <c r="L40" s="24"/>
      <c r="M40" s="24"/>
      <c r="N40" s="24"/>
      <c r="O40" s="24"/>
    </row>
    <row r="41" spans="1:15" x14ac:dyDescent="0.2">
      <c r="A41" s="14"/>
      <c r="B41" s="26"/>
      <c r="J41" s="24"/>
      <c r="K41" s="24"/>
      <c r="L41" s="24"/>
      <c r="M41" s="24"/>
      <c r="N41" s="24"/>
      <c r="O41" s="24"/>
    </row>
    <row r="42" spans="1:15" x14ac:dyDescent="0.2">
      <c r="A42" s="14"/>
      <c r="B42" s="26"/>
      <c r="J42" s="24"/>
      <c r="K42" s="24"/>
      <c r="L42" s="24"/>
      <c r="M42" s="24"/>
      <c r="N42" s="24"/>
      <c r="O42" s="24"/>
    </row>
    <row r="43" spans="1:15" x14ac:dyDescent="0.2">
      <c r="A43" s="14"/>
      <c r="B43" s="26"/>
      <c r="J43" s="24"/>
      <c r="K43" s="24"/>
      <c r="L43" s="24"/>
      <c r="M43" s="24"/>
      <c r="N43" s="24"/>
      <c r="O43" s="24"/>
    </row>
    <row r="44" spans="1:15" x14ac:dyDescent="0.2">
      <c r="A44" s="14"/>
      <c r="B44" s="26"/>
      <c r="J44" s="24"/>
      <c r="K44" s="24"/>
      <c r="L44" s="24"/>
      <c r="M44" s="24"/>
      <c r="N44" s="24"/>
      <c r="O44" s="24"/>
    </row>
    <row r="45" spans="1:15" x14ac:dyDescent="0.2">
      <c r="A45" s="14"/>
      <c r="B45" s="26"/>
      <c r="J45" s="24"/>
      <c r="K45" s="24"/>
      <c r="L45" s="24"/>
      <c r="M45" s="24"/>
      <c r="N45" s="24"/>
      <c r="O45" s="24"/>
    </row>
    <row r="46" spans="1:15" x14ac:dyDescent="0.2">
      <c r="A46" s="14"/>
      <c r="B46" s="26"/>
      <c r="J46" s="24"/>
      <c r="K46" s="24"/>
      <c r="L46" s="24"/>
      <c r="M46" s="24"/>
      <c r="N46" s="24"/>
      <c r="O46" s="24"/>
    </row>
    <row r="47" spans="1:15" x14ac:dyDescent="0.2">
      <c r="A47" s="14"/>
      <c r="B47" s="26"/>
      <c r="J47" s="24"/>
      <c r="K47" s="24"/>
      <c r="L47" s="24"/>
      <c r="M47" s="24"/>
      <c r="N47" s="24"/>
      <c r="O47" s="24"/>
    </row>
    <row r="48" spans="1:15" x14ac:dyDescent="0.2">
      <c r="A48" s="14"/>
      <c r="B48" s="26"/>
      <c r="J48" s="24"/>
      <c r="K48" s="24"/>
      <c r="L48" s="24"/>
      <c r="M48" s="24"/>
      <c r="N48" s="24"/>
      <c r="O48" s="24"/>
    </row>
    <row r="49" spans="1:15" x14ac:dyDescent="0.2">
      <c r="A49" s="14"/>
      <c r="B49" s="26"/>
      <c r="J49" s="24"/>
      <c r="K49" s="24"/>
      <c r="L49" s="24"/>
      <c r="M49" s="24"/>
      <c r="N49" s="24"/>
      <c r="O49" s="24"/>
    </row>
    <row r="50" spans="1:15" x14ac:dyDescent="0.2">
      <c r="A50" s="14"/>
      <c r="B50" s="26"/>
      <c r="J50" s="24"/>
      <c r="K50" s="24"/>
      <c r="L50" s="24"/>
      <c r="M50" s="24"/>
      <c r="N50" s="24"/>
      <c r="O50" s="24"/>
    </row>
    <row r="51" spans="1:15" x14ac:dyDescent="0.2">
      <c r="A51" s="14"/>
      <c r="B51" s="26"/>
      <c r="J51" s="24"/>
      <c r="K51" s="24"/>
      <c r="L51" s="24"/>
      <c r="M51" s="24"/>
      <c r="N51" s="24"/>
      <c r="O51" s="24"/>
    </row>
    <row r="52" spans="1:15" x14ac:dyDescent="0.2">
      <c r="A52" s="14"/>
      <c r="B52" s="26"/>
      <c r="J52" s="24"/>
      <c r="K52" s="24"/>
      <c r="L52" s="24"/>
      <c r="M52" s="24"/>
      <c r="N52" s="24"/>
      <c r="O52" s="24"/>
    </row>
    <row r="53" spans="1:15" x14ac:dyDescent="0.2">
      <c r="A53" s="14"/>
      <c r="B53" s="26"/>
      <c r="J53" s="24"/>
      <c r="K53" s="24"/>
      <c r="L53" s="24"/>
      <c r="M53" s="24"/>
      <c r="N53" s="24"/>
      <c r="O53" s="24"/>
    </row>
    <row r="54" spans="1:15" x14ac:dyDescent="0.2">
      <c r="A54" s="14"/>
      <c r="B54" s="26"/>
      <c r="J54" s="24"/>
      <c r="K54" s="24"/>
      <c r="L54" s="24"/>
      <c r="M54" s="24"/>
      <c r="N54" s="24"/>
      <c r="O54" s="24"/>
    </row>
    <row r="55" spans="1:15" x14ac:dyDescent="0.2">
      <c r="A55" s="14"/>
      <c r="B55" s="26"/>
      <c r="J55" s="24"/>
      <c r="K55" s="24"/>
      <c r="L55" s="24"/>
      <c r="M55" s="24"/>
      <c r="N55" s="24"/>
      <c r="O55" s="24"/>
    </row>
    <row r="56" spans="1:15" x14ac:dyDescent="0.2">
      <c r="A56" s="14"/>
      <c r="B56" s="26"/>
      <c r="J56" s="24"/>
      <c r="K56" s="24"/>
      <c r="L56" s="24"/>
      <c r="M56" s="24"/>
      <c r="N56" s="24"/>
      <c r="O56" s="24"/>
    </row>
    <row r="57" spans="1:15" x14ac:dyDescent="0.2">
      <c r="A57" s="14"/>
      <c r="B57" s="26"/>
      <c r="J57" s="24"/>
      <c r="K57" s="24"/>
      <c r="L57" s="24"/>
      <c r="M57" s="24"/>
      <c r="N57" s="24"/>
      <c r="O57" s="24"/>
    </row>
    <row r="58" spans="1:15" x14ac:dyDescent="0.2">
      <c r="A58" s="14"/>
      <c r="B58" s="26"/>
      <c r="J58" s="24"/>
      <c r="K58" s="24"/>
      <c r="L58" s="24"/>
      <c r="M58" s="24"/>
      <c r="N58" s="24"/>
      <c r="O58" s="24"/>
    </row>
    <row r="59" spans="1:15" x14ac:dyDescent="0.2">
      <c r="A59" s="14"/>
      <c r="B59" s="26"/>
      <c r="J59" s="24"/>
      <c r="K59" s="24"/>
      <c r="L59" s="24"/>
      <c r="M59" s="24"/>
      <c r="N59" s="24"/>
      <c r="O59" s="24"/>
    </row>
    <row r="60" spans="1:15" x14ac:dyDescent="0.2">
      <c r="A60" s="14"/>
      <c r="B60" s="26"/>
      <c r="J60" s="24"/>
      <c r="K60" s="24"/>
      <c r="L60" s="24"/>
      <c r="M60" s="24"/>
      <c r="N60" s="24"/>
      <c r="O60" s="24"/>
    </row>
    <row r="61" spans="1:15" x14ac:dyDescent="0.2">
      <c r="A61" s="14"/>
      <c r="B61" s="26"/>
      <c r="J61" s="24"/>
      <c r="K61" s="24"/>
      <c r="L61" s="24"/>
      <c r="M61" s="24"/>
      <c r="N61" s="24"/>
      <c r="O61" s="24"/>
    </row>
    <row r="62" spans="1:15" x14ac:dyDescent="0.2">
      <c r="A62" s="14"/>
      <c r="B62" s="26"/>
      <c r="J62" s="24"/>
      <c r="K62" s="24"/>
      <c r="L62" s="24"/>
      <c r="M62" s="24"/>
      <c r="N62" s="24"/>
      <c r="O62" s="24"/>
    </row>
    <row r="63" spans="1:15" x14ac:dyDescent="0.2">
      <c r="A63" s="14"/>
      <c r="B63" s="26"/>
      <c r="J63" s="24"/>
      <c r="K63" s="24"/>
      <c r="L63" s="24"/>
      <c r="M63" s="24"/>
      <c r="N63" s="24"/>
      <c r="O63" s="24"/>
    </row>
    <row r="64" spans="1:15" x14ac:dyDescent="0.2">
      <c r="A64" s="14"/>
      <c r="B64" s="26"/>
      <c r="J64" s="24"/>
      <c r="K64" s="24"/>
      <c r="L64" s="24"/>
      <c r="M64" s="24"/>
      <c r="N64" s="24"/>
      <c r="O64" s="24"/>
    </row>
    <row r="65" spans="1:15" x14ac:dyDescent="0.2">
      <c r="A65" s="14"/>
      <c r="B65" s="26"/>
      <c r="J65" s="24"/>
      <c r="K65" s="24"/>
      <c r="L65" s="24"/>
      <c r="M65" s="24"/>
      <c r="N65" s="24"/>
      <c r="O65" s="24"/>
    </row>
    <row r="66" spans="1:15" x14ac:dyDescent="0.2">
      <c r="A66" s="14"/>
      <c r="B66" s="26"/>
      <c r="J66" s="24"/>
      <c r="K66" s="24"/>
      <c r="L66" s="24"/>
      <c r="M66" s="24"/>
      <c r="N66" s="24"/>
      <c r="O66" s="24"/>
    </row>
    <row r="67" spans="1:15" x14ac:dyDescent="0.2">
      <c r="A67" s="14"/>
      <c r="B67" s="26"/>
      <c r="J67" s="24"/>
      <c r="K67" s="24"/>
      <c r="L67" s="24"/>
      <c r="M67" s="24"/>
      <c r="N67" s="24"/>
      <c r="O67" s="24"/>
    </row>
    <row r="68" spans="1:15" x14ac:dyDescent="0.2">
      <c r="A68" s="14"/>
      <c r="B68" s="26"/>
      <c r="J68" s="24"/>
      <c r="K68" s="24"/>
      <c r="L68" s="24"/>
      <c r="M68" s="24"/>
      <c r="N68" s="24"/>
      <c r="O68" s="24"/>
    </row>
    <row r="69" spans="1:15" x14ac:dyDescent="0.2">
      <c r="A69" s="14"/>
      <c r="B69" s="26"/>
      <c r="J69" s="24"/>
      <c r="K69" s="24"/>
      <c r="L69" s="24"/>
      <c r="M69" s="24"/>
      <c r="N69" s="24"/>
      <c r="O69" s="24"/>
    </row>
    <row r="70" spans="1:15" x14ac:dyDescent="0.2">
      <c r="A70" s="14"/>
      <c r="B70" s="26"/>
      <c r="J70" s="24"/>
      <c r="K70" s="24"/>
      <c r="L70" s="24"/>
      <c r="M70" s="24"/>
      <c r="N70" s="24"/>
      <c r="O70" s="24"/>
    </row>
    <row r="71" spans="1:15" x14ac:dyDescent="0.2">
      <c r="A71" s="14"/>
      <c r="B71" s="26"/>
      <c r="J71" s="24"/>
      <c r="K71" s="24"/>
      <c r="L71" s="24"/>
      <c r="M71" s="24"/>
      <c r="N71" s="24"/>
      <c r="O71" s="24"/>
    </row>
    <row r="72" spans="1:15" x14ac:dyDescent="0.2">
      <c r="A72" s="14"/>
      <c r="B72" s="26"/>
      <c r="J72" s="24"/>
      <c r="K72" s="24"/>
      <c r="L72" s="24"/>
      <c r="M72" s="24"/>
      <c r="N72" s="24"/>
      <c r="O72" s="24"/>
    </row>
    <row r="73" spans="1:15" x14ac:dyDescent="0.2">
      <c r="A73" s="14"/>
      <c r="B73" s="26"/>
      <c r="J73" s="24"/>
      <c r="K73" s="24"/>
      <c r="L73" s="24"/>
      <c r="M73" s="24"/>
      <c r="N73" s="24"/>
      <c r="O73" s="24"/>
    </row>
    <row r="74" spans="1:15" x14ac:dyDescent="0.2">
      <c r="A74" s="14"/>
      <c r="B74" s="26"/>
      <c r="J74" s="24"/>
      <c r="K74" s="24"/>
      <c r="L74" s="24"/>
      <c r="M74" s="24"/>
      <c r="N74" s="24"/>
      <c r="O74" s="24"/>
    </row>
    <row r="75" spans="1:15" x14ac:dyDescent="0.2">
      <c r="A75" s="14"/>
      <c r="B75" s="26"/>
      <c r="J75" s="24"/>
      <c r="K75" s="24"/>
      <c r="L75" s="24"/>
      <c r="M75" s="24"/>
      <c r="N75" s="24"/>
      <c r="O75" s="24"/>
    </row>
    <row r="76" spans="1:15" x14ac:dyDescent="0.2">
      <c r="A76" s="14"/>
      <c r="B76" s="26"/>
      <c r="J76" s="24"/>
      <c r="K76" s="24"/>
      <c r="L76" s="24"/>
      <c r="M76" s="24"/>
      <c r="N76" s="24"/>
      <c r="O76" s="24"/>
    </row>
    <row r="77" spans="1:15" x14ac:dyDescent="0.2">
      <c r="A77" s="14"/>
      <c r="B77" s="26"/>
      <c r="J77" s="24"/>
      <c r="K77" s="24"/>
      <c r="L77" s="24"/>
      <c r="M77" s="24"/>
      <c r="N77" s="24"/>
      <c r="O77" s="24"/>
    </row>
    <row r="78" spans="1:15" x14ac:dyDescent="0.2">
      <c r="A78" s="14"/>
      <c r="B78" s="26"/>
      <c r="J78" s="24"/>
      <c r="K78" s="24"/>
      <c r="L78" s="24"/>
      <c r="M78" s="24"/>
      <c r="N78" s="24"/>
      <c r="O78" s="24"/>
    </row>
    <row r="79" spans="1:15" x14ac:dyDescent="0.2">
      <c r="A79" s="14"/>
      <c r="B79" s="26"/>
      <c r="J79" s="24"/>
      <c r="K79" s="24"/>
      <c r="L79" s="24"/>
      <c r="M79" s="24"/>
      <c r="N79" s="24"/>
      <c r="O79" s="24"/>
    </row>
    <row r="80" spans="1:15" x14ac:dyDescent="0.2">
      <c r="A80" s="14"/>
      <c r="B80" s="26"/>
      <c r="J80" s="24"/>
      <c r="K80" s="24"/>
      <c r="L80" s="24"/>
      <c r="M80" s="24"/>
      <c r="N80" s="24"/>
      <c r="O80" s="24"/>
    </row>
    <row r="81" spans="1:15" x14ac:dyDescent="0.2">
      <c r="A81" s="14"/>
      <c r="B81" s="26"/>
      <c r="J81" s="24"/>
      <c r="K81" s="24"/>
      <c r="L81" s="24"/>
      <c r="M81" s="24"/>
      <c r="N81" s="24"/>
      <c r="O81" s="24"/>
    </row>
    <row r="82" spans="1:15" x14ac:dyDescent="0.2">
      <c r="A82" s="14"/>
      <c r="B82" s="26"/>
      <c r="J82" s="24"/>
      <c r="K82" s="24"/>
      <c r="L82" s="24"/>
      <c r="M82" s="24"/>
      <c r="N82" s="24"/>
      <c r="O82" s="24"/>
    </row>
    <row r="83" spans="1:15" x14ac:dyDescent="0.2">
      <c r="A83" s="14"/>
      <c r="B83" s="26"/>
      <c r="J83" s="24"/>
      <c r="K83" s="24"/>
      <c r="L83" s="24"/>
      <c r="M83" s="24"/>
      <c r="N83" s="24"/>
      <c r="O83" s="24"/>
    </row>
    <row r="84" spans="1:15" x14ac:dyDescent="0.2">
      <c r="A84" s="14"/>
      <c r="B84" s="26"/>
      <c r="J84" s="24"/>
      <c r="K84" s="24"/>
      <c r="L84" s="24"/>
      <c r="M84" s="24"/>
      <c r="N84" s="24"/>
      <c r="O84" s="24"/>
    </row>
    <row r="85" spans="1:15" x14ac:dyDescent="0.2">
      <c r="A85" s="14"/>
      <c r="B85" s="26"/>
      <c r="J85" s="24"/>
      <c r="K85" s="24"/>
      <c r="L85" s="24"/>
      <c r="M85" s="24"/>
      <c r="N85" s="24"/>
      <c r="O85" s="24"/>
    </row>
    <row r="86" spans="1:15" x14ac:dyDescent="0.2">
      <c r="A86" s="14"/>
      <c r="B86" s="26"/>
      <c r="J86" s="24"/>
      <c r="K86" s="24"/>
      <c r="L86" s="24"/>
      <c r="M86" s="24"/>
      <c r="N86" s="24"/>
      <c r="O86" s="24"/>
    </row>
    <row r="87" spans="1:15" x14ac:dyDescent="0.2">
      <c r="A87" s="14"/>
      <c r="B87" s="26"/>
      <c r="J87" s="24"/>
      <c r="K87" s="24"/>
      <c r="L87" s="24"/>
      <c r="M87" s="24"/>
      <c r="N87" s="24"/>
      <c r="O87" s="24"/>
    </row>
    <row r="88" spans="1:15" x14ac:dyDescent="0.2">
      <c r="A88" s="14"/>
      <c r="B88" s="26"/>
      <c r="J88" s="24"/>
      <c r="K88" s="24"/>
      <c r="L88" s="24"/>
      <c r="M88" s="24"/>
      <c r="N88" s="24"/>
      <c r="O88" s="24"/>
    </row>
    <row r="89" spans="1:15" x14ac:dyDescent="0.2">
      <c r="A89" s="14"/>
      <c r="B89" s="26"/>
      <c r="J89" s="24"/>
      <c r="K89" s="24"/>
      <c r="L89" s="24"/>
      <c r="M89" s="24"/>
      <c r="N89" s="24"/>
      <c r="O89" s="24"/>
    </row>
    <row r="90" spans="1:15" x14ac:dyDescent="0.2">
      <c r="A90" s="14"/>
      <c r="B90" s="26"/>
      <c r="J90" s="24"/>
      <c r="K90" s="24"/>
      <c r="L90" s="24"/>
      <c r="M90" s="24"/>
      <c r="N90" s="24"/>
      <c r="O90" s="24"/>
    </row>
    <row r="91" spans="1:15" x14ac:dyDescent="0.2">
      <c r="A91" s="14"/>
      <c r="B91" s="26"/>
      <c r="J91" s="24"/>
      <c r="K91" s="24"/>
      <c r="L91" s="24"/>
      <c r="M91" s="24"/>
      <c r="N91" s="24"/>
      <c r="O91" s="24"/>
    </row>
    <row r="92" spans="1:15" x14ac:dyDescent="0.2">
      <c r="A92" s="14"/>
      <c r="B92" s="26"/>
      <c r="J92" s="24"/>
      <c r="K92" s="24"/>
      <c r="L92" s="24"/>
      <c r="M92" s="24"/>
      <c r="N92" s="24"/>
      <c r="O92" s="24"/>
    </row>
    <row r="93" spans="1:15" x14ac:dyDescent="0.2">
      <c r="A93" s="14"/>
      <c r="B93" s="26"/>
      <c r="J93" s="24"/>
      <c r="K93" s="24"/>
      <c r="L93" s="24"/>
      <c r="M93" s="24"/>
      <c r="N93" s="24"/>
      <c r="O93" s="24"/>
    </row>
    <row r="94" spans="1:15" x14ac:dyDescent="0.2">
      <c r="A94" s="14"/>
      <c r="B94" s="26"/>
      <c r="J94" s="24"/>
      <c r="K94" s="24"/>
      <c r="L94" s="24"/>
      <c r="M94" s="24"/>
      <c r="N94" s="24"/>
      <c r="O94" s="24"/>
    </row>
    <row r="95" spans="1:15" x14ac:dyDescent="0.2">
      <c r="A95" s="14"/>
      <c r="B95" s="26"/>
      <c r="J95" s="24"/>
      <c r="K95" s="24"/>
      <c r="L95" s="24"/>
      <c r="M95" s="24"/>
      <c r="N95" s="24"/>
      <c r="O95" s="24"/>
    </row>
    <row r="96" spans="1:15" x14ac:dyDescent="0.2">
      <c r="A96" s="14"/>
      <c r="B96" s="26"/>
      <c r="J96" s="24"/>
      <c r="K96" s="24"/>
      <c r="L96" s="24"/>
      <c r="M96" s="24"/>
      <c r="N96" s="24"/>
      <c r="O96" s="24"/>
    </row>
    <row r="97" spans="1:15" x14ac:dyDescent="0.2">
      <c r="A97" s="14"/>
      <c r="B97" s="26"/>
      <c r="J97" s="24"/>
      <c r="K97" s="24"/>
      <c r="L97" s="24"/>
      <c r="M97" s="24"/>
      <c r="N97" s="24"/>
      <c r="O97" s="24"/>
    </row>
    <row r="98" spans="1:15" x14ac:dyDescent="0.2">
      <c r="A98" s="14"/>
      <c r="B98" s="26"/>
      <c r="J98" s="24"/>
      <c r="K98" s="24"/>
      <c r="L98" s="24"/>
      <c r="M98" s="24"/>
      <c r="N98" s="24"/>
      <c r="O98" s="24"/>
    </row>
    <row r="99" spans="1:15" x14ac:dyDescent="0.2">
      <c r="A99" s="14"/>
      <c r="B99" s="26"/>
      <c r="J99" s="24"/>
      <c r="K99" s="24"/>
      <c r="L99" s="24"/>
      <c r="M99" s="24"/>
      <c r="N99" s="24"/>
      <c r="O99" s="24"/>
    </row>
    <row r="100" spans="1:15" x14ac:dyDescent="0.2">
      <c r="A100" s="14"/>
      <c r="B100" s="26"/>
      <c r="J100" s="24"/>
      <c r="K100" s="24"/>
      <c r="L100" s="24"/>
      <c r="M100" s="24"/>
      <c r="N100" s="24"/>
      <c r="O100" s="24"/>
    </row>
    <row r="101" spans="1:15" x14ac:dyDescent="0.2">
      <c r="A101" s="14"/>
      <c r="B101" s="26"/>
      <c r="J101" s="24"/>
      <c r="K101" s="24"/>
      <c r="L101" s="24"/>
      <c r="M101" s="24"/>
      <c r="N101" s="24"/>
      <c r="O101" s="24"/>
    </row>
    <row r="102" spans="1:15" x14ac:dyDescent="0.2">
      <c r="A102" s="14"/>
      <c r="B102" s="26"/>
      <c r="J102" s="24"/>
      <c r="K102" s="24"/>
      <c r="L102" s="24"/>
      <c r="M102" s="24"/>
      <c r="N102" s="24"/>
      <c r="O102" s="24"/>
    </row>
    <row r="103" spans="1:15" x14ac:dyDescent="0.2">
      <c r="A103" s="14"/>
      <c r="B103" s="26"/>
      <c r="J103" s="24"/>
      <c r="K103" s="24"/>
      <c r="L103" s="24"/>
      <c r="M103" s="24"/>
      <c r="N103" s="24"/>
      <c r="O103" s="24"/>
    </row>
    <row r="104" spans="1:15" x14ac:dyDescent="0.2">
      <c r="A104" s="14"/>
      <c r="B104" s="26"/>
      <c r="J104" s="24"/>
      <c r="K104" s="24"/>
      <c r="L104" s="24"/>
      <c r="M104" s="24"/>
      <c r="N104" s="24"/>
      <c r="O104" s="24"/>
    </row>
    <row r="105" spans="1:15" x14ac:dyDescent="0.2">
      <c r="A105" s="14"/>
      <c r="B105" s="26"/>
      <c r="J105" s="24"/>
      <c r="K105" s="24"/>
      <c r="L105" s="24"/>
      <c r="M105" s="24"/>
      <c r="N105" s="24"/>
      <c r="O105" s="24"/>
    </row>
    <row r="106" spans="1:15" x14ac:dyDescent="0.2">
      <c r="A106" s="14"/>
      <c r="B106" s="26"/>
      <c r="J106" s="24"/>
      <c r="K106" s="24"/>
      <c r="L106" s="24"/>
      <c r="M106" s="24"/>
      <c r="N106" s="24"/>
      <c r="O106" s="24"/>
    </row>
    <row r="107" spans="1:15" x14ac:dyDescent="0.2">
      <c r="A107" s="14"/>
      <c r="B107" s="26"/>
      <c r="J107" s="24"/>
      <c r="K107" s="24"/>
      <c r="L107" s="24"/>
      <c r="M107" s="24"/>
      <c r="N107" s="24"/>
      <c r="O107" s="24"/>
    </row>
    <row r="108" spans="1:15" x14ac:dyDescent="0.2">
      <c r="A108" s="14"/>
      <c r="B108" s="26"/>
      <c r="J108" s="24"/>
      <c r="K108" s="24"/>
      <c r="L108" s="24"/>
      <c r="M108" s="24"/>
      <c r="N108" s="24"/>
      <c r="O108" s="24"/>
    </row>
    <row r="109" spans="1:15" x14ac:dyDescent="0.2">
      <c r="A109" s="14"/>
      <c r="B109" s="26"/>
      <c r="J109" s="24"/>
      <c r="K109" s="24"/>
      <c r="L109" s="24"/>
      <c r="M109" s="24"/>
      <c r="N109" s="24"/>
      <c r="O109" s="24"/>
    </row>
    <row r="110" spans="1:15" x14ac:dyDescent="0.2">
      <c r="A110" s="14"/>
      <c r="B110" s="26"/>
      <c r="J110" s="24"/>
      <c r="K110" s="24"/>
      <c r="L110" s="24"/>
      <c r="M110" s="24"/>
      <c r="N110" s="24"/>
      <c r="O110" s="24"/>
    </row>
    <row r="111" spans="1:15" x14ac:dyDescent="0.2">
      <c r="A111" s="14"/>
      <c r="B111" s="26"/>
      <c r="J111" s="24"/>
      <c r="K111" s="24"/>
      <c r="L111" s="24"/>
      <c r="M111" s="24"/>
      <c r="N111" s="24"/>
      <c r="O111" s="24"/>
    </row>
    <row r="112" spans="1:15" x14ac:dyDescent="0.2">
      <c r="A112" s="14"/>
      <c r="B112" s="26"/>
      <c r="J112" s="24"/>
      <c r="K112" s="24"/>
      <c r="L112" s="24"/>
      <c r="M112" s="24"/>
      <c r="N112" s="24"/>
      <c r="O112" s="24"/>
    </row>
    <row r="113" spans="1:15" x14ac:dyDescent="0.2">
      <c r="A113" s="14"/>
      <c r="B113" s="26"/>
      <c r="J113" s="24"/>
      <c r="K113" s="24"/>
      <c r="L113" s="24"/>
      <c r="M113" s="24"/>
      <c r="N113" s="24"/>
      <c r="O113" s="24"/>
    </row>
    <row r="114" spans="1:15" x14ac:dyDescent="0.2">
      <c r="A114" s="14"/>
      <c r="B114" s="26"/>
      <c r="J114" s="24"/>
      <c r="K114" s="24"/>
      <c r="L114" s="24"/>
      <c r="M114" s="24"/>
      <c r="N114" s="24"/>
      <c r="O114" s="24"/>
    </row>
    <row r="115" spans="1:15" x14ac:dyDescent="0.2">
      <c r="A115" s="14"/>
      <c r="B115" s="26"/>
      <c r="J115" s="24"/>
      <c r="K115" s="24"/>
      <c r="L115" s="24"/>
      <c r="M115" s="24"/>
      <c r="N115" s="24"/>
      <c r="O115" s="24"/>
    </row>
    <row r="116" spans="1:15" x14ac:dyDescent="0.2">
      <c r="A116" s="14"/>
      <c r="B116" s="26"/>
      <c r="J116" s="24"/>
      <c r="K116" s="24"/>
      <c r="L116" s="24"/>
      <c r="M116" s="24"/>
      <c r="N116" s="24"/>
      <c r="O116" s="24"/>
    </row>
    <row r="117" spans="1:15" x14ac:dyDescent="0.2">
      <c r="A117" s="14"/>
      <c r="B117" s="26"/>
      <c r="J117" s="24"/>
      <c r="K117" s="24"/>
      <c r="L117" s="24"/>
      <c r="M117" s="24"/>
      <c r="N117" s="24"/>
      <c r="O117" s="24"/>
    </row>
    <row r="118" spans="1:15" x14ac:dyDescent="0.2">
      <c r="A118" s="14"/>
      <c r="B118" s="26"/>
      <c r="J118" s="24"/>
      <c r="K118" s="24"/>
      <c r="L118" s="24"/>
      <c r="M118" s="24"/>
      <c r="N118" s="24"/>
      <c r="O118" s="24"/>
    </row>
    <row r="119" spans="1:15" x14ac:dyDescent="0.2">
      <c r="A119" s="14"/>
      <c r="B119" s="26"/>
      <c r="J119" s="24"/>
      <c r="K119" s="24"/>
      <c r="L119" s="24"/>
      <c r="M119" s="24"/>
      <c r="N119" s="24"/>
      <c r="O119" s="24"/>
    </row>
    <row r="120" spans="1:15" x14ac:dyDescent="0.2">
      <c r="A120" s="14"/>
      <c r="B120" s="26"/>
      <c r="J120" s="24"/>
      <c r="K120" s="24"/>
      <c r="L120" s="24"/>
      <c r="M120" s="24"/>
      <c r="N120" s="24"/>
      <c r="O120" s="24"/>
    </row>
    <row r="121" spans="1:15" x14ac:dyDescent="0.2">
      <c r="A121" s="14"/>
      <c r="B121" s="26"/>
      <c r="J121" s="24"/>
      <c r="K121" s="24"/>
      <c r="L121" s="24"/>
      <c r="M121" s="24"/>
      <c r="N121" s="24"/>
      <c r="O121" s="24"/>
    </row>
    <row r="122" spans="1:15" x14ac:dyDescent="0.2">
      <c r="A122" s="14"/>
      <c r="B122" s="26"/>
      <c r="J122" s="24"/>
      <c r="K122" s="24"/>
      <c r="L122" s="24"/>
      <c r="M122" s="24"/>
      <c r="N122" s="24"/>
      <c r="O122" s="24"/>
    </row>
    <row r="123" spans="1:15" x14ac:dyDescent="0.2">
      <c r="A123" s="14"/>
      <c r="B123" s="26"/>
      <c r="J123" s="24"/>
      <c r="K123" s="24"/>
      <c r="L123" s="24"/>
      <c r="M123" s="24"/>
      <c r="N123" s="24"/>
      <c r="O123" s="24"/>
    </row>
    <row r="124" spans="1:15" x14ac:dyDescent="0.2">
      <c r="A124" s="14"/>
      <c r="B124" s="26"/>
      <c r="J124" s="24"/>
      <c r="K124" s="24"/>
      <c r="L124" s="24"/>
      <c r="M124" s="24"/>
      <c r="N124" s="24"/>
      <c r="O124" s="24"/>
    </row>
    <row r="125" spans="1:15" x14ac:dyDescent="0.2">
      <c r="A125" s="14"/>
      <c r="B125" s="26"/>
      <c r="J125" s="24"/>
      <c r="K125" s="24"/>
      <c r="L125" s="24"/>
      <c r="M125" s="24"/>
      <c r="N125" s="24"/>
      <c r="O125" s="24"/>
    </row>
    <row r="126" spans="1:15" x14ac:dyDescent="0.2">
      <c r="A126" s="14"/>
      <c r="B126" s="26"/>
      <c r="J126" s="24"/>
      <c r="K126" s="24"/>
      <c r="L126" s="24"/>
      <c r="M126" s="24"/>
      <c r="N126" s="24"/>
      <c r="O126" s="24"/>
    </row>
    <row r="127" spans="1:15" x14ac:dyDescent="0.2">
      <c r="A127" s="14"/>
      <c r="B127" s="26"/>
      <c r="J127" s="24"/>
      <c r="K127" s="24"/>
      <c r="L127" s="24"/>
      <c r="M127" s="24"/>
      <c r="N127" s="24"/>
      <c r="O127" s="24"/>
    </row>
    <row r="128" spans="1:15" x14ac:dyDescent="0.2">
      <c r="A128" s="14"/>
      <c r="B128" s="26"/>
      <c r="J128" s="24"/>
      <c r="K128" s="24"/>
      <c r="L128" s="24"/>
      <c r="M128" s="24"/>
      <c r="N128" s="24"/>
      <c r="O128" s="24"/>
    </row>
    <row r="129" spans="1:15" x14ac:dyDescent="0.2">
      <c r="A129" s="14"/>
      <c r="B129" s="26"/>
      <c r="J129" s="24"/>
      <c r="K129" s="24"/>
      <c r="L129" s="24"/>
      <c r="M129" s="24"/>
      <c r="N129" s="24"/>
      <c r="O129" s="24"/>
    </row>
    <row r="130" spans="1:15" x14ac:dyDescent="0.2">
      <c r="A130" s="14"/>
      <c r="B130" s="26"/>
      <c r="J130" s="24"/>
      <c r="K130" s="24"/>
      <c r="L130" s="24"/>
      <c r="M130" s="24"/>
      <c r="N130" s="24"/>
      <c r="O130" s="24"/>
    </row>
    <row r="131" spans="1:15" x14ac:dyDescent="0.2">
      <c r="A131" s="14"/>
      <c r="B131" s="26"/>
      <c r="J131" s="24"/>
      <c r="K131" s="24"/>
      <c r="L131" s="24"/>
      <c r="M131" s="24"/>
      <c r="N131" s="24"/>
      <c r="O131" s="24"/>
    </row>
    <row r="132" spans="1:15" x14ac:dyDescent="0.2">
      <c r="A132" s="14"/>
      <c r="B132" s="26"/>
      <c r="J132" s="24"/>
      <c r="K132" s="24"/>
      <c r="L132" s="24"/>
      <c r="M132" s="24"/>
      <c r="N132" s="24"/>
      <c r="O132" s="24"/>
    </row>
    <row r="133" spans="1:15" x14ac:dyDescent="0.2">
      <c r="A133" s="14"/>
      <c r="B133" s="26"/>
      <c r="J133" s="24"/>
      <c r="K133" s="24"/>
      <c r="L133" s="24"/>
      <c r="M133" s="24"/>
      <c r="N133" s="24"/>
      <c r="O133" s="24"/>
    </row>
    <row r="134" spans="1:15" x14ac:dyDescent="0.2">
      <c r="A134" s="14"/>
      <c r="B134" s="26"/>
      <c r="J134" s="24"/>
      <c r="K134" s="24"/>
      <c r="L134" s="24"/>
      <c r="M134" s="24"/>
      <c r="N134" s="24"/>
      <c r="O134" s="24"/>
    </row>
    <row r="135" spans="1:15" x14ac:dyDescent="0.2">
      <c r="A135" s="14"/>
      <c r="B135" s="26"/>
      <c r="J135" s="24"/>
      <c r="K135" s="24"/>
      <c r="L135" s="24"/>
      <c r="M135" s="24"/>
      <c r="N135" s="24"/>
      <c r="O135" s="24"/>
    </row>
    <row r="136" spans="1:15" x14ac:dyDescent="0.2">
      <c r="A136" s="14"/>
      <c r="B136" s="26"/>
      <c r="J136" s="24"/>
      <c r="K136" s="24"/>
      <c r="L136" s="24"/>
      <c r="M136" s="24"/>
      <c r="N136" s="24"/>
      <c r="O136" s="24"/>
    </row>
    <row r="137" spans="1:15" x14ac:dyDescent="0.2">
      <c r="A137" s="14"/>
      <c r="B137" s="26"/>
      <c r="J137" s="24"/>
      <c r="K137" s="24"/>
      <c r="L137" s="24"/>
      <c r="M137" s="24"/>
      <c r="N137" s="24"/>
      <c r="O137" s="24"/>
    </row>
    <row r="138" spans="1:15" x14ac:dyDescent="0.2">
      <c r="A138" s="14"/>
      <c r="B138" s="26"/>
      <c r="J138" s="24"/>
      <c r="K138" s="24"/>
      <c r="L138" s="24"/>
      <c r="M138" s="24"/>
      <c r="N138" s="24"/>
      <c r="O138" s="24"/>
    </row>
    <row r="139" spans="1:15" x14ac:dyDescent="0.2">
      <c r="A139" s="14"/>
      <c r="B139" s="26"/>
      <c r="J139" s="24"/>
      <c r="K139" s="24"/>
      <c r="L139" s="24"/>
      <c r="M139" s="24"/>
      <c r="N139" s="24"/>
      <c r="O139" s="24"/>
    </row>
    <row r="140" spans="1:15" x14ac:dyDescent="0.2">
      <c r="A140" s="14"/>
      <c r="B140" s="26"/>
      <c r="J140" s="24"/>
      <c r="K140" s="24"/>
      <c r="L140" s="24"/>
      <c r="M140" s="24"/>
      <c r="N140" s="24"/>
      <c r="O140" s="24"/>
    </row>
    <row r="141" spans="1:15" x14ac:dyDescent="0.2">
      <c r="A141" s="14"/>
      <c r="B141" s="26"/>
      <c r="J141" s="24"/>
      <c r="K141" s="24"/>
      <c r="L141" s="24"/>
      <c r="M141" s="24"/>
      <c r="N141" s="24"/>
      <c r="O141" s="24"/>
    </row>
    <row r="142" spans="1:15" x14ac:dyDescent="0.2">
      <c r="A142" s="14"/>
      <c r="B142" s="26"/>
      <c r="J142" s="24"/>
      <c r="K142" s="24"/>
      <c r="L142" s="24"/>
      <c r="M142" s="24"/>
      <c r="N142" s="24"/>
      <c r="O142" s="24"/>
    </row>
    <row r="143" spans="1:15" x14ac:dyDescent="0.2">
      <c r="A143" s="14"/>
      <c r="B143" s="26"/>
      <c r="J143" s="24"/>
      <c r="K143" s="24"/>
      <c r="L143" s="24"/>
      <c r="M143" s="24"/>
      <c r="N143" s="24"/>
      <c r="O143" s="24"/>
    </row>
    <row r="144" spans="1:15" x14ac:dyDescent="0.2">
      <c r="A144" s="14"/>
      <c r="B144" s="26"/>
      <c r="J144" s="24"/>
      <c r="K144" s="24"/>
      <c r="L144" s="24"/>
      <c r="M144" s="24"/>
      <c r="N144" s="24"/>
      <c r="O144" s="24"/>
    </row>
    <row r="145" spans="1:15" x14ac:dyDescent="0.2">
      <c r="A145" s="14"/>
      <c r="B145" s="26"/>
      <c r="J145" s="24"/>
      <c r="K145" s="24"/>
      <c r="L145" s="24"/>
      <c r="M145" s="24"/>
      <c r="N145" s="24"/>
      <c r="O145" s="24"/>
    </row>
    <row r="146" spans="1:15" x14ac:dyDescent="0.2">
      <c r="A146" s="14"/>
      <c r="B146" s="26"/>
      <c r="J146" s="24"/>
      <c r="K146" s="24"/>
      <c r="L146" s="24"/>
      <c r="M146" s="24"/>
      <c r="N146" s="24"/>
      <c r="O146" s="24"/>
    </row>
    <row r="147" spans="1:15" x14ac:dyDescent="0.2">
      <c r="A147" s="14"/>
      <c r="B147" s="26"/>
      <c r="J147" s="24"/>
      <c r="K147" s="24"/>
      <c r="L147" s="24"/>
      <c r="M147" s="24"/>
      <c r="N147" s="24"/>
      <c r="O147" s="24"/>
    </row>
    <row r="148" spans="1:15" x14ac:dyDescent="0.2">
      <c r="A148" s="14"/>
      <c r="B148" s="26"/>
      <c r="J148" s="24"/>
      <c r="K148" s="24"/>
      <c r="L148" s="24"/>
      <c r="M148" s="24"/>
      <c r="N148" s="24"/>
      <c r="O148" s="24"/>
    </row>
    <row r="149" spans="1:15" x14ac:dyDescent="0.2">
      <c r="A149" s="14"/>
      <c r="B149" s="26"/>
      <c r="J149" s="24"/>
      <c r="K149" s="24"/>
      <c r="L149" s="24"/>
      <c r="M149" s="24"/>
      <c r="N149" s="24"/>
      <c r="O149" s="24"/>
    </row>
    <row r="150" spans="1:15" x14ac:dyDescent="0.2">
      <c r="A150" s="14"/>
      <c r="B150" s="26"/>
      <c r="J150" s="24"/>
      <c r="K150" s="24"/>
      <c r="L150" s="24"/>
      <c r="M150" s="24"/>
      <c r="N150" s="24"/>
      <c r="O150" s="24"/>
    </row>
    <row r="151" spans="1:15" x14ac:dyDescent="0.2">
      <c r="A151" s="14"/>
      <c r="B151" s="26"/>
      <c r="J151" s="24"/>
      <c r="K151" s="24"/>
      <c r="L151" s="24"/>
      <c r="M151" s="24"/>
      <c r="N151" s="24"/>
      <c r="O151" s="24"/>
    </row>
    <row r="152" spans="1:15" x14ac:dyDescent="0.2">
      <c r="A152" s="14"/>
      <c r="B152" s="26"/>
      <c r="J152" s="24"/>
      <c r="K152" s="24"/>
      <c r="L152" s="24"/>
      <c r="M152" s="24"/>
      <c r="N152" s="24"/>
      <c r="O152" s="24"/>
    </row>
    <row r="153" spans="1:15" x14ac:dyDescent="0.2">
      <c r="A153" s="14"/>
      <c r="B153" s="26"/>
      <c r="J153" s="24"/>
      <c r="K153" s="24"/>
      <c r="L153" s="24"/>
      <c r="M153" s="24"/>
      <c r="N153" s="24"/>
      <c r="O153" s="24"/>
    </row>
    <row r="154" spans="1:15" x14ac:dyDescent="0.2">
      <c r="A154" s="14"/>
      <c r="B154" s="26"/>
      <c r="J154" s="24"/>
      <c r="K154" s="24"/>
      <c r="L154" s="24"/>
      <c r="M154" s="24"/>
      <c r="N154" s="24"/>
      <c r="O154" s="24"/>
    </row>
    <row r="155" spans="1:15" x14ac:dyDescent="0.2">
      <c r="A155" s="14"/>
      <c r="B155" s="26"/>
      <c r="J155" s="24"/>
      <c r="K155" s="24"/>
      <c r="L155" s="24"/>
      <c r="M155" s="24"/>
      <c r="N155" s="24"/>
      <c r="O155" s="24"/>
    </row>
    <row r="156" spans="1:15" x14ac:dyDescent="0.2">
      <c r="A156" s="14"/>
      <c r="B156" s="26"/>
      <c r="J156" s="24"/>
      <c r="K156" s="24"/>
      <c r="L156" s="24"/>
      <c r="M156" s="24"/>
      <c r="N156" s="24"/>
      <c r="O156" s="24"/>
    </row>
    <row r="157" spans="1:15" x14ac:dyDescent="0.2">
      <c r="A157" s="14"/>
      <c r="B157" s="26"/>
      <c r="J157" s="24"/>
      <c r="K157" s="24"/>
      <c r="L157" s="24"/>
      <c r="M157" s="24"/>
      <c r="N157" s="24"/>
      <c r="O157" s="24"/>
    </row>
    <row r="158" spans="1:15" x14ac:dyDescent="0.2">
      <c r="A158" s="14"/>
      <c r="B158" s="26"/>
      <c r="J158" s="24"/>
      <c r="K158" s="24"/>
      <c r="L158" s="24"/>
      <c r="M158" s="24"/>
      <c r="N158" s="24"/>
      <c r="O158" s="24"/>
    </row>
    <row r="159" spans="1:15" x14ac:dyDescent="0.2">
      <c r="A159" s="14"/>
      <c r="B159" s="26"/>
      <c r="J159" s="24"/>
      <c r="K159" s="24"/>
      <c r="L159" s="24"/>
      <c r="M159" s="24"/>
      <c r="N159" s="24"/>
      <c r="O159" s="24"/>
    </row>
    <row r="160" spans="1:15" x14ac:dyDescent="0.2">
      <c r="A160" s="14"/>
      <c r="B160" s="26"/>
      <c r="J160" s="24"/>
      <c r="K160" s="24"/>
      <c r="L160" s="24"/>
      <c r="M160" s="24"/>
      <c r="N160" s="24"/>
      <c r="O160" s="24"/>
    </row>
    <row r="161" spans="1:15" x14ac:dyDescent="0.2">
      <c r="A161" s="14"/>
      <c r="B161" s="26"/>
      <c r="J161" s="24"/>
      <c r="K161" s="24"/>
      <c r="L161" s="24"/>
      <c r="M161" s="24"/>
      <c r="N161" s="24"/>
      <c r="O161" s="24"/>
    </row>
    <row r="162" spans="1:15" x14ac:dyDescent="0.2">
      <c r="A162" s="14"/>
      <c r="B162" s="26"/>
      <c r="J162" s="24"/>
      <c r="K162" s="24"/>
      <c r="L162" s="24"/>
      <c r="M162" s="24"/>
      <c r="N162" s="24"/>
      <c r="O162" s="24"/>
    </row>
    <row r="163" spans="1:15" x14ac:dyDescent="0.2">
      <c r="A163" s="14"/>
      <c r="B163" s="26"/>
      <c r="J163" s="24"/>
      <c r="K163" s="24"/>
      <c r="L163" s="24"/>
      <c r="M163" s="24"/>
      <c r="N163" s="24"/>
      <c r="O163" s="24"/>
    </row>
    <row r="164" spans="1:15" x14ac:dyDescent="0.2">
      <c r="A164" s="14"/>
      <c r="B164" s="26"/>
      <c r="J164" s="24"/>
      <c r="K164" s="24"/>
      <c r="L164" s="24"/>
      <c r="M164" s="24"/>
      <c r="N164" s="24"/>
      <c r="O164" s="24"/>
    </row>
    <row r="165" spans="1:15" x14ac:dyDescent="0.2">
      <c r="A165" s="14"/>
      <c r="B165" s="26"/>
      <c r="J165" s="24"/>
      <c r="K165" s="24"/>
      <c r="L165" s="24"/>
      <c r="M165" s="24"/>
      <c r="N165" s="24"/>
      <c r="O165" s="24"/>
    </row>
    <row r="166" spans="1:15" x14ac:dyDescent="0.2">
      <c r="A166" s="14"/>
      <c r="B166" s="26"/>
      <c r="J166" s="24"/>
      <c r="K166" s="24"/>
      <c r="L166" s="24"/>
      <c r="M166" s="24"/>
      <c r="N166" s="24"/>
      <c r="O166" s="24"/>
    </row>
    <row r="167" spans="1:15" x14ac:dyDescent="0.2">
      <c r="A167" s="14"/>
      <c r="B167" s="26"/>
      <c r="J167" s="24"/>
      <c r="K167" s="24"/>
      <c r="L167" s="24"/>
      <c r="M167" s="24"/>
      <c r="N167" s="24"/>
      <c r="O167" s="24"/>
    </row>
    <row r="168" spans="1:15" x14ac:dyDescent="0.2">
      <c r="A168" s="14"/>
      <c r="B168" s="26"/>
      <c r="J168" s="24"/>
      <c r="K168" s="24"/>
      <c r="L168" s="24"/>
      <c r="M168" s="24"/>
      <c r="N168" s="24"/>
      <c r="O168" s="24"/>
    </row>
    <row r="169" spans="1:15" x14ac:dyDescent="0.2">
      <c r="A169" s="14"/>
      <c r="B169" s="26"/>
      <c r="J169" s="24"/>
      <c r="K169" s="24"/>
      <c r="L169" s="24"/>
      <c r="M169" s="24"/>
      <c r="N169" s="24"/>
      <c r="O169" s="24"/>
    </row>
    <row r="170" spans="1:15" x14ac:dyDescent="0.2">
      <c r="A170" s="14"/>
      <c r="B170" s="26"/>
      <c r="J170" s="24"/>
      <c r="K170" s="24"/>
      <c r="L170" s="24"/>
      <c r="M170" s="24"/>
      <c r="N170" s="24"/>
      <c r="O170" s="24"/>
    </row>
    <row r="171" spans="1:15" x14ac:dyDescent="0.2">
      <c r="A171" s="14"/>
      <c r="B171" s="26"/>
      <c r="J171" s="24"/>
      <c r="K171" s="24"/>
      <c r="L171" s="24"/>
      <c r="M171" s="24"/>
      <c r="N171" s="24"/>
      <c r="O171" s="24"/>
    </row>
    <row r="172" spans="1:15" x14ac:dyDescent="0.2">
      <c r="A172" s="14"/>
      <c r="B172" s="26"/>
      <c r="J172" s="24"/>
      <c r="K172" s="24"/>
      <c r="L172" s="24"/>
      <c r="M172" s="24"/>
      <c r="N172" s="24"/>
      <c r="O172" s="24"/>
    </row>
    <row r="173" spans="1:15" x14ac:dyDescent="0.2">
      <c r="A173" s="14"/>
      <c r="B173" s="26"/>
      <c r="J173" s="24"/>
      <c r="K173" s="24"/>
      <c r="L173" s="24"/>
      <c r="M173" s="24"/>
      <c r="N173" s="24"/>
      <c r="O173" s="24"/>
    </row>
    <row r="174" spans="1:15" x14ac:dyDescent="0.2">
      <c r="A174" s="14"/>
      <c r="B174" s="26"/>
      <c r="J174" s="24"/>
      <c r="K174" s="24"/>
      <c r="L174" s="24"/>
      <c r="M174" s="24"/>
      <c r="N174" s="24"/>
      <c r="O174" s="24"/>
    </row>
    <row r="175" spans="1:15" x14ac:dyDescent="0.2">
      <c r="A175" s="14"/>
      <c r="B175" s="26"/>
      <c r="J175" s="24"/>
      <c r="K175" s="24"/>
      <c r="L175" s="24"/>
      <c r="M175" s="24"/>
      <c r="N175" s="24"/>
      <c r="O175" s="24"/>
    </row>
    <row r="176" spans="1:15" x14ac:dyDescent="0.2">
      <c r="A176" s="14"/>
      <c r="B176" s="26"/>
      <c r="J176" s="24"/>
      <c r="K176" s="24"/>
      <c r="L176" s="24"/>
      <c r="M176" s="24"/>
      <c r="N176" s="24"/>
      <c r="O176" s="24"/>
    </row>
    <row r="177" spans="1:15" x14ac:dyDescent="0.2">
      <c r="A177" s="14"/>
      <c r="B177" s="26"/>
      <c r="J177" s="24"/>
      <c r="K177" s="24"/>
      <c r="L177" s="24"/>
      <c r="M177" s="24"/>
      <c r="N177" s="24"/>
      <c r="O177" s="24"/>
    </row>
    <row r="178" spans="1:15" x14ac:dyDescent="0.2">
      <c r="A178" s="14"/>
      <c r="B178" s="26"/>
      <c r="J178" s="24"/>
      <c r="K178" s="24"/>
      <c r="L178" s="24"/>
      <c r="M178" s="24"/>
      <c r="N178" s="24"/>
      <c r="O178" s="24"/>
    </row>
    <row r="179" spans="1:15" x14ac:dyDescent="0.2">
      <c r="A179" s="14"/>
      <c r="B179" s="26"/>
      <c r="J179" s="24"/>
      <c r="K179" s="24"/>
      <c r="L179" s="24"/>
      <c r="M179" s="24"/>
      <c r="N179" s="24"/>
      <c r="O179" s="24"/>
    </row>
    <row r="180" spans="1:15" x14ac:dyDescent="0.2">
      <c r="A180" s="14"/>
      <c r="B180" s="26"/>
      <c r="J180" s="24"/>
      <c r="K180" s="24"/>
      <c r="L180" s="24"/>
      <c r="M180" s="24"/>
      <c r="N180" s="24"/>
      <c r="O180" s="24"/>
    </row>
    <row r="181" spans="1:15" x14ac:dyDescent="0.2">
      <c r="A181" s="14"/>
      <c r="B181" s="26"/>
      <c r="J181" s="24"/>
      <c r="K181" s="24"/>
      <c r="L181" s="24"/>
      <c r="M181" s="24"/>
      <c r="N181" s="24"/>
      <c r="O181" s="24"/>
    </row>
    <row r="182" spans="1:15" x14ac:dyDescent="0.2">
      <c r="A182" s="14"/>
      <c r="B182" s="26"/>
      <c r="J182" s="24"/>
      <c r="K182" s="24"/>
      <c r="L182" s="24"/>
      <c r="M182" s="24"/>
      <c r="N182" s="24"/>
      <c r="O182" s="24"/>
    </row>
    <row r="183" spans="1:15" x14ac:dyDescent="0.2">
      <c r="A183" s="14"/>
      <c r="B183" s="26"/>
      <c r="J183" s="24"/>
      <c r="K183" s="24"/>
      <c r="L183" s="24"/>
      <c r="M183" s="24"/>
      <c r="N183" s="24"/>
      <c r="O183" s="24"/>
    </row>
    <row r="184" spans="1:15" x14ac:dyDescent="0.2">
      <c r="A184" s="14"/>
      <c r="B184" s="26"/>
      <c r="J184" s="24"/>
      <c r="K184" s="24"/>
      <c r="L184" s="24"/>
      <c r="M184" s="24"/>
      <c r="N184" s="24"/>
      <c r="O184" s="24"/>
    </row>
    <row r="185" spans="1:15" x14ac:dyDescent="0.2">
      <c r="A185" s="14"/>
      <c r="B185" s="26"/>
      <c r="J185" s="24"/>
      <c r="K185" s="24"/>
      <c r="L185" s="24"/>
      <c r="M185" s="24"/>
      <c r="N185" s="24"/>
      <c r="O185" s="24"/>
    </row>
    <row r="186" spans="1:15" x14ac:dyDescent="0.2">
      <c r="A186" s="14"/>
      <c r="B186" s="15"/>
      <c r="J186" s="24"/>
      <c r="K186" s="24"/>
      <c r="L186" s="24"/>
      <c r="M186" s="24"/>
      <c r="N186" s="24"/>
      <c r="O186" s="24"/>
    </row>
    <row r="187" spans="1:15" x14ac:dyDescent="0.2">
      <c r="A187" s="14"/>
      <c r="B187" s="15"/>
      <c r="J187" s="24"/>
      <c r="K187" s="24"/>
      <c r="L187" s="24"/>
      <c r="M187" s="24"/>
      <c r="N187" s="24"/>
      <c r="O187" s="24"/>
    </row>
    <row r="188" spans="1:15" x14ac:dyDescent="0.2">
      <c r="A188" s="14"/>
      <c r="B188" s="15"/>
      <c r="J188" s="24"/>
      <c r="K188" s="24"/>
      <c r="L188" s="24"/>
      <c r="M188" s="24"/>
      <c r="N188" s="24"/>
      <c r="O188" s="24"/>
    </row>
    <row r="189" spans="1:15" x14ac:dyDescent="0.2">
      <c r="A189" s="14"/>
      <c r="B189" s="15"/>
      <c r="J189" s="24"/>
      <c r="K189" s="24"/>
      <c r="L189" s="24"/>
      <c r="M189" s="24"/>
      <c r="N189" s="24"/>
      <c r="O189" s="24"/>
    </row>
    <row r="190" spans="1:15" x14ac:dyDescent="0.2">
      <c r="A190" s="14"/>
      <c r="B190" s="15"/>
      <c r="J190" s="24"/>
      <c r="K190" s="24"/>
      <c r="L190" s="24"/>
      <c r="M190" s="24"/>
      <c r="N190" s="24"/>
      <c r="O190" s="24"/>
    </row>
    <row r="191" spans="1:15" x14ac:dyDescent="0.2">
      <c r="A191" s="14"/>
      <c r="B191" s="15"/>
      <c r="J191" s="24"/>
      <c r="K191" s="24"/>
      <c r="L191" s="24"/>
      <c r="M191" s="24"/>
      <c r="N191" s="24"/>
      <c r="O191" s="24"/>
    </row>
    <row r="192" spans="1:15" x14ac:dyDescent="0.2">
      <c r="A192" s="14"/>
      <c r="B192" s="15"/>
      <c r="J192" s="24"/>
      <c r="K192" s="24"/>
      <c r="L192" s="24"/>
      <c r="M192" s="24"/>
      <c r="N192" s="24"/>
      <c r="O192" s="24"/>
    </row>
    <row r="193" spans="1:15" x14ac:dyDescent="0.2">
      <c r="A193" s="14"/>
      <c r="B193" s="15"/>
      <c r="J193" s="24"/>
      <c r="K193" s="24"/>
      <c r="L193" s="24"/>
      <c r="M193" s="24"/>
      <c r="N193" s="24"/>
      <c r="O193" s="24"/>
    </row>
    <row r="194" spans="1:15" x14ac:dyDescent="0.2">
      <c r="A194" s="14"/>
      <c r="B194" s="15"/>
      <c r="J194" s="24"/>
      <c r="K194" s="24"/>
      <c r="L194" s="24"/>
      <c r="M194" s="24"/>
      <c r="N194" s="24"/>
      <c r="O194" s="24"/>
    </row>
    <row r="195" spans="1:15" x14ac:dyDescent="0.2">
      <c r="A195" s="14"/>
      <c r="B195" s="15"/>
      <c r="J195" s="24"/>
      <c r="K195" s="24"/>
      <c r="L195" s="24"/>
      <c r="M195" s="24"/>
      <c r="N195" s="24"/>
      <c r="O195" s="24"/>
    </row>
    <row r="196" spans="1:15" x14ac:dyDescent="0.2">
      <c r="A196" s="14"/>
      <c r="B196" s="15"/>
      <c r="J196" s="24"/>
      <c r="K196" s="24"/>
      <c r="L196" s="24"/>
      <c r="M196" s="24"/>
      <c r="N196" s="24"/>
      <c r="O196" s="24"/>
    </row>
    <row r="197" spans="1:15" x14ac:dyDescent="0.2">
      <c r="A197" s="14"/>
      <c r="B197" s="26"/>
      <c r="J197" s="24"/>
      <c r="K197" s="24"/>
      <c r="L197" s="24"/>
      <c r="M197" s="24"/>
      <c r="N197" s="24"/>
      <c r="O197" s="24"/>
    </row>
    <row r="198" spans="1:15" x14ac:dyDescent="0.2">
      <c r="A198" s="14"/>
      <c r="B198" s="15"/>
      <c r="J198" s="24"/>
      <c r="K198" s="24"/>
      <c r="L198" s="24"/>
      <c r="M198" s="24"/>
      <c r="N198" s="24"/>
      <c r="O198" s="24"/>
    </row>
    <row r="199" spans="1:15" x14ac:dyDescent="0.2">
      <c r="A199" s="14"/>
      <c r="B199" s="15"/>
      <c r="J199" s="24"/>
      <c r="K199" s="24"/>
      <c r="L199" s="24"/>
      <c r="M199" s="24"/>
      <c r="N199" s="24"/>
      <c r="O199" s="24"/>
    </row>
    <row r="200" spans="1:15" x14ac:dyDescent="0.2">
      <c r="A200" s="14"/>
      <c r="B200" s="15"/>
      <c r="J200" s="24"/>
      <c r="K200" s="24"/>
      <c r="L200" s="24"/>
      <c r="M200" s="24"/>
      <c r="N200" s="24"/>
      <c r="O200" s="24"/>
    </row>
    <row r="201" spans="1:15" x14ac:dyDescent="0.2">
      <c r="A201" s="14"/>
      <c r="B201" s="15"/>
      <c r="J201" s="24"/>
      <c r="K201" s="24"/>
      <c r="L201" s="24"/>
      <c r="M201" s="24"/>
      <c r="N201" s="24"/>
      <c r="O201" s="24"/>
    </row>
    <row r="202" spans="1:15" x14ac:dyDescent="0.2">
      <c r="A202" s="14"/>
      <c r="B202" s="15"/>
      <c r="J202" s="24"/>
      <c r="K202" s="24"/>
      <c r="L202" s="24"/>
      <c r="M202" s="24"/>
      <c r="N202" s="24"/>
      <c r="O202" s="24"/>
    </row>
    <row r="203" spans="1:15" x14ac:dyDescent="0.2">
      <c r="A203" s="14"/>
      <c r="B203" s="15"/>
      <c r="J203" s="24"/>
      <c r="K203" s="24"/>
      <c r="L203" s="24"/>
      <c r="M203" s="24"/>
      <c r="N203" s="24"/>
      <c r="O203" s="24"/>
    </row>
    <row r="204" spans="1:15" x14ac:dyDescent="0.2">
      <c r="A204" s="14"/>
      <c r="B204" s="15"/>
      <c r="J204" s="24"/>
      <c r="K204" s="24"/>
      <c r="L204" s="24"/>
      <c r="M204" s="24"/>
      <c r="N204" s="24"/>
      <c r="O204" s="24"/>
    </row>
    <row r="205" spans="1:15" x14ac:dyDescent="0.2">
      <c r="A205" s="14"/>
      <c r="B205" s="15"/>
      <c r="J205" s="24"/>
      <c r="K205" s="24"/>
      <c r="L205" s="24"/>
      <c r="M205" s="24"/>
      <c r="N205" s="24"/>
      <c r="O205" s="24"/>
    </row>
    <row r="206" spans="1:15" x14ac:dyDescent="0.2">
      <c r="A206" s="14"/>
      <c r="B206" s="15"/>
      <c r="J206" s="24"/>
      <c r="K206" s="24"/>
      <c r="L206" s="24"/>
      <c r="M206" s="24"/>
      <c r="N206" s="24"/>
      <c r="O206" s="24"/>
    </row>
    <row r="207" spans="1:15" x14ac:dyDescent="0.2">
      <c r="A207" s="14"/>
      <c r="B207" s="15"/>
      <c r="J207" s="24"/>
      <c r="K207" s="24"/>
      <c r="L207" s="24"/>
      <c r="M207" s="24"/>
      <c r="N207" s="24"/>
      <c r="O207" s="24"/>
    </row>
    <row r="208" spans="1:15" x14ac:dyDescent="0.2">
      <c r="A208" s="14"/>
      <c r="B208" s="15"/>
      <c r="J208" s="24"/>
      <c r="K208" s="24"/>
      <c r="L208" s="24"/>
      <c r="M208" s="24"/>
      <c r="N208" s="24"/>
      <c r="O208" s="24"/>
    </row>
    <row r="209" spans="1:15" x14ac:dyDescent="0.2">
      <c r="A209" s="14"/>
      <c r="B209" s="15"/>
      <c r="J209" s="24"/>
      <c r="K209" s="24"/>
      <c r="L209" s="24"/>
      <c r="M209" s="24"/>
      <c r="N209" s="24"/>
      <c r="O209" s="24"/>
    </row>
    <row r="210" spans="1:15" x14ac:dyDescent="0.2">
      <c r="A210" s="14"/>
      <c r="B210" s="15"/>
      <c r="J210" s="24"/>
      <c r="K210" s="24"/>
      <c r="L210" s="24"/>
      <c r="M210" s="24"/>
      <c r="N210" s="24"/>
      <c r="O210" s="24"/>
    </row>
    <row r="211" spans="1:15" x14ac:dyDescent="0.2">
      <c r="A211" s="14"/>
      <c r="B211" s="15"/>
      <c r="J211" s="24"/>
      <c r="K211" s="24"/>
      <c r="L211" s="24"/>
      <c r="M211" s="24"/>
      <c r="N211" s="24"/>
      <c r="O211" s="24"/>
    </row>
    <row r="212" spans="1:15" x14ac:dyDescent="0.2">
      <c r="A212" s="14"/>
      <c r="B212" s="15"/>
      <c r="J212" s="24"/>
      <c r="K212" s="24"/>
      <c r="L212" s="24"/>
      <c r="M212" s="24"/>
      <c r="N212" s="24"/>
      <c r="O212" s="24"/>
    </row>
    <row r="213" spans="1:15" x14ac:dyDescent="0.2">
      <c r="A213" s="14"/>
      <c r="B213" s="15"/>
      <c r="J213" s="24"/>
      <c r="K213" s="24"/>
      <c r="L213" s="24"/>
      <c r="M213" s="24"/>
      <c r="N213" s="24"/>
      <c r="O213" s="24"/>
    </row>
    <row r="214" spans="1:15" x14ac:dyDescent="0.2">
      <c r="A214" s="14"/>
      <c r="B214" s="15"/>
      <c r="J214" s="24"/>
      <c r="K214" s="24"/>
      <c r="L214" s="24"/>
      <c r="M214" s="24"/>
      <c r="N214" s="24"/>
      <c r="O214" s="24"/>
    </row>
    <row r="215" spans="1:15" x14ac:dyDescent="0.2">
      <c r="A215" s="14"/>
      <c r="B215" s="15"/>
      <c r="J215" s="24"/>
      <c r="K215" s="24"/>
      <c r="L215" s="24"/>
      <c r="M215" s="24"/>
      <c r="N215" s="24"/>
      <c r="O215" s="24"/>
    </row>
    <row r="216" spans="1:15" x14ac:dyDescent="0.2">
      <c r="A216" s="14"/>
      <c r="B216" s="15"/>
      <c r="J216" s="24"/>
      <c r="K216" s="24"/>
      <c r="L216" s="24"/>
      <c r="M216" s="24"/>
      <c r="N216" s="24"/>
      <c r="O216" s="24"/>
    </row>
    <row r="217" spans="1:15" x14ac:dyDescent="0.2">
      <c r="A217" s="14"/>
      <c r="B217" s="15"/>
      <c r="J217" s="24"/>
      <c r="K217" s="24"/>
      <c r="L217" s="24"/>
      <c r="M217" s="24"/>
      <c r="N217" s="24"/>
      <c r="O217" s="24"/>
    </row>
    <row r="218" spans="1:15" x14ac:dyDescent="0.2">
      <c r="A218" s="14"/>
      <c r="B218" s="15"/>
      <c r="J218" s="24"/>
      <c r="K218" s="24"/>
      <c r="L218" s="24"/>
      <c r="M218" s="24"/>
      <c r="N218" s="24"/>
      <c r="O218" s="24"/>
    </row>
    <row r="219" spans="1:15" x14ac:dyDescent="0.2">
      <c r="A219" s="14"/>
      <c r="B219" s="26"/>
      <c r="J219" s="24"/>
      <c r="K219" s="24"/>
      <c r="L219" s="24"/>
      <c r="M219" s="24"/>
      <c r="N219" s="24"/>
      <c r="O219" s="24"/>
    </row>
    <row r="220" spans="1:15" x14ac:dyDescent="0.2">
      <c r="A220" s="14"/>
      <c r="B220" s="26"/>
      <c r="J220" s="24"/>
      <c r="K220" s="24"/>
      <c r="L220" s="24"/>
      <c r="M220" s="24"/>
      <c r="N220" s="24"/>
      <c r="O220" s="24"/>
    </row>
    <row r="221" spans="1:15" x14ac:dyDescent="0.2">
      <c r="A221" s="14"/>
      <c r="B221" s="26"/>
      <c r="J221" s="24"/>
      <c r="K221" s="24"/>
      <c r="L221" s="24"/>
      <c r="M221" s="24"/>
      <c r="N221" s="24"/>
      <c r="O221" s="24"/>
    </row>
    <row r="222" spans="1:15" x14ac:dyDescent="0.2">
      <c r="A222" s="14"/>
      <c r="B222" s="26"/>
      <c r="J222" s="24"/>
      <c r="K222" s="24"/>
      <c r="L222" s="24"/>
      <c r="M222" s="24"/>
      <c r="N222" s="24"/>
      <c r="O222" s="24"/>
    </row>
    <row r="223" spans="1:15" x14ac:dyDescent="0.2">
      <c r="A223" s="14"/>
      <c r="B223" s="26"/>
      <c r="J223" s="24"/>
      <c r="K223" s="24"/>
      <c r="L223" s="24"/>
      <c r="M223" s="24"/>
      <c r="N223" s="24"/>
      <c r="O223" s="24"/>
    </row>
    <row r="224" spans="1:15" x14ac:dyDescent="0.2">
      <c r="A224" s="14"/>
      <c r="B224" s="26"/>
      <c r="J224" s="24"/>
      <c r="K224" s="24"/>
      <c r="L224" s="24"/>
      <c r="M224" s="24"/>
      <c r="N224" s="24"/>
      <c r="O224" s="24"/>
    </row>
    <row r="225" spans="1:15" x14ac:dyDescent="0.2">
      <c r="A225" s="14"/>
      <c r="B225" s="26"/>
      <c r="J225" s="24"/>
      <c r="K225" s="24"/>
      <c r="L225" s="24"/>
      <c r="M225" s="24"/>
      <c r="N225" s="24"/>
      <c r="O225" s="24"/>
    </row>
    <row r="226" spans="1:15" x14ac:dyDescent="0.2">
      <c r="A226" s="14"/>
      <c r="B226" s="26"/>
      <c r="J226" s="24"/>
      <c r="K226" s="24"/>
      <c r="L226" s="24"/>
      <c r="M226" s="24"/>
      <c r="N226" s="24"/>
      <c r="O226" s="24"/>
    </row>
    <row r="227" spans="1:15" x14ac:dyDescent="0.2">
      <c r="A227" s="14"/>
      <c r="B227" s="26"/>
      <c r="J227" s="24"/>
      <c r="K227" s="24"/>
      <c r="L227" s="24"/>
      <c r="M227" s="24"/>
      <c r="N227" s="24"/>
      <c r="O227" s="24"/>
    </row>
    <row r="228" spans="1:15" x14ac:dyDescent="0.2">
      <c r="A228" s="14"/>
      <c r="B228" s="26"/>
      <c r="J228" s="24"/>
      <c r="K228" s="24"/>
      <c r="L228" s="24"/>
      <c r="M228" s="24"/>
      <c r="N228" s="24"/>
      <c r="O228" s="24"/>
    </row>
    <row r="229" spans="1:15" x14ac:dyDescent="0.2">
      <c r="A229" s="14"/>
      <c r="B229" s="26"/>
      <c r="J229" s="24"/>
      <c r="K229" s="24"/>
      <c r="L229" s="24"/>
      <c r="M229" s="24"/>
      <c r="N229" s="24"/>
      <c r="O229" s="24"/>
    </row>
    <row r="230" spans="1:15" x14ac:dyDescent="0.2">
      <c r="A230" s="14"/>
      <c r="B230" s="26"/>
      <c r="J230" s="24"/>
      <c r="K230" s="24"/>
      <c r="L230" s="24"/>
      <c r="M230" s="24"/>
      <c r="N230" s="24"/>
      <c r="O230" s="24"/>
    </row>
    <row r="231" spans="1:15" x14ac:dyDescent="0.2">
      <c r="A231" s="14"/>
      <c r="B231" s="26"/>
      <c r="J231" s="24"/>
      <c r="K231" s="24"/>
      <c r="L231" s="24"/>
      <c r="M231" s="24"/>
      <c r="N231" s="24"/>
      <c r="O231" s="24"/>
    </row>
    <row r="232" spans="1:15" x14ac:dyDescent="0.2">
      <c r="A232" s="14"/>
      <c r="B232" s="26"/>
      <c r="J232" s="24"/>
      <c r="K232" s="24"/>
      <c r="L232" s="24"/>
      <c r="M232" s="24"/>
      <c r="N232" s="24"/>
      <c r="O232" s="24"/>
    </row>
    <row r="233" spans="1:15" x14ac:dyDescent="0.2">
      <c r="A233" s="14"/>
      <c r="B233" s="26"/>
      <c r="J233" s="24"/>
      <c r="K233" s="24"/>
      <c r="L233" s="24"/>
      <c r="M233" s="24"/>
      <c r="N233" s="24"/>
      <c r="O233" s="24"/>
    </row>
    <row r="234" spans="1:15" x14ac:dyDescent="0.2">
      <c r="A234" s="14"/>
      <c r="B234" s="26"/>
      <c r="J234" s="24"/>
      <c r="K234" s="24"/>
      <c r="L234" s="24"/>
      <c r="M234" s="24"/>
      <c r="N234" s="24"/>
      <c r="O234" s="24"/>
    </row>
    <row r="235" spans="1:15" x14ac:dyDescent="0.2">
      <c r="A235" s="14"/>
      <c r="B235" s="26"/>
      <c r="J235" s="24"/>
      <c r="K235" s="24"/>
      <c r="L235" s="24"/>
      <c r="M235" s="24"/>
      <c r="N235" s="24"/>
      <c r="O235" s="24"/>
    </row>
    <row r="236" spans="1:15" x14ac:dyDescent="0.2">
      <c r="A236" s="14"/>
      <c r="B236" s="26"/>
      <c r="J236" s="24"/>
      <c r="K236" s="24"/>
      <c r="L236" s="24"/>
      <c r="M236" s="24"/>
      <c r="N236" s="24"/>
      <c r="O236" s="24"/>
    </row>
    <row r="237" spans="1:15" x14ac:dyDescent="0.2">
      <c r="A237" s="14"/>
      <c r="B237" s="26"/>
      <c r="J237" s="24"/>
      <c r="K237" s="24"/>
      <c r="L237" s="24"/>
      <c r="M237" s="24"/>
      <c r="N237" s="24"/>
      <c r="O237" s="24"/>
    </row>
    <row r="238" spans="1:15" x14ac:dyDescent="0.2">
      <c r="A238" s="14"/>
      <c r="B238" s="26"/>
      <c r="J238" s="24"/>
      <c r="K238" s="24"/>
      <c r="L238" s="24"/>
      <c r="M238" s="24"/>
      <c r="N238" s="24"/>
      <c r="O238" s="24"/>
    </row>
    <row r="239" spans="1:15" x14ac:dyDescent="0.2">
      <c r="A239" s="14"/>
      <c r="B239" s="26"/>
      <c r="J239" s="24"/>
      <c r="K239" s="24"/>
      <c r="L239" s="24"/>
      <c r="M239" s="24"/>
      <c r="N239" s="24"/>
      <c r="O239" s="24"/>
    </row>
    <row r="240" spans="1:15" x14ac:dyDescent="0.2">
      <c r="A240" s="14"/>
      <c r="B240" s="26"/>
      <c r="J240" s="24"/>
      <c r="K240" s="24"/>
      <c r="L240" s="24"/>
      <c r="M240" s="24"/>
      <c r="N240" s="24"/>
      <c r="O240" s="24"/>
    </row>
    <row r="241" spans="1:15" x14ac:dyDescent="0.2">
      <c r="A241" s="14"/>
      <c r="B241" s="26"/>
      <c r="J241" s="24"/>
      <c r="K241" s="24"/>
      <c r="L241" s="24"/>
      <c r="M241" s="24"/>
      <c r="N241" s="24"/>
      <c r="O241" s="24"/>
    </row>
    <row r="242" spans="1:15" x14ac:dyDescent="0.2">
      <c r="A242" s="14"/>
      <c r="B242" s="26"/>
      <c r="J242" s="24"/>
      <c r="K242" s="24"/>
      <c r="L242" s="24"/>
      <c r="M242" s="24"/>
      <c r="N242" s="24"/>
      <c r="O242" s="24"/>
    </row>
    <row r="243" spans="1:15" x14ac:dyDescent="0.2">
      <c r="A243" s="14"/>
      <c r="B243" s="26"/>
      <c r="J243" s="24"/>
      <c r="K243" s="24"/>
      <c r="L243" s="24"/>
      <c r="M243" s="24"/>
      <c r="N243" s="24"/>
      <c r="O243" s="24"/>
    </row>
    <row r="244" spans="1:15" x14ac:dyDescent="0.2">
      <c r="A244" s="14"/>
      <c r="B244" s="26"/>
      <c r="J244" s="24"/>
      <c r="K244" s="24"/>
      <c r="L244" s="24"/>
      <c r="M244" s="24"/>
      <c r="N244" s="24"/>
      <c r="O244" s="24"/>
    </row>
    <row r="245" spans="1:15" x14ac:dyDescent="0.2">
      <c r="A245" s="14"/>
      <c r="B245" s="26"/>
      <c r="J245" s="24"/>
      <c r="K245" s="24"/>
      <c r="L245" s="24"/>
      <c r="M245" s="24"/>
      <c r="N245" s="24"/>
      <c r="O245" s="24"/>
    </row>
    <row r="246" spans="1:15" x14ac:dyDescent="0.2">
      <c r="A246" s="14"/>
      <c r="B246" s="26"/>
      <c r="J246" s="24"/>
      <c r="K246" s="24"/>
      <c r="L246" s="24"/>
      <c r="M246" s="24"/>
      <c r="N246" s="24"/>
      <c r="O246" s="24"/>
    </row>
    <row r="247" spans="1:15" x14ac:dyDescent="0.2">
      <c r="A247" s="14"/>
      <c r="B247" s="26"/>
      <c r="J247" s="24"/>
      <c r="K247" s="24"/>
      <c r="L247" s="24"/>
      <c r="M247" s="24"/>
      <c r="N247" s="24"/>
      <c r="O247" s="24"/>
    </row>
    <row r="248" spans="1:15" x14ac:dyDescent="0.2">
      <c r="A248" s="14"/>
      <c r="B248" s="26"/>
      <c r="J248" s="24"/>
      <c r="K248" s="24"/>
      <c r="L248" s="24"/>
      <c r="M248" s="24"/>
      <c r="N248" s="24"/>
      <c r="O248" s="24"/>
    </row>
    <row r="249" spans="1:15" x14ac:dyDescent="0.2">
      <c r="A249" s="14"/>
      <c r="B249" s="26"/>
      <c r="J249" s="24"/>
      <c r="K249" s="24"/>
      <c r="L249" s="24"/>
      <c r="M249" s="24"/>
      <c r="N249" s="24"/>
      <c r="O249" s="24"/>
    </row>
    <row r="250" spans="1:15" x14ac:dyDescent="0.2">
      <c r="A250" s="14"/>
      <c r="B250" s="15"/>
      <c r="J250" s="24"/>
      <c r="K250" s="24"/>
      <c r="L250" s="24"/>
      <c r="M250" s="24"/>
      <c r="N250" s="24"/>
      <c r="O250" s="24"/>
    </row>
    <row r="251" spans="1:15" x14ac:dyDescent="0.2">
      <c r="A251" s="14"/>
      <c r="B251" s="15"/>
      <c r="J251" s="24"/>
      <c r="K251" s="24"/>
      <c r="L251" s="24"/>
      <c r="M251" s="24"/>
      <c r="N251" s="24"/>
      <c r="O251" s="24"/>
    </row>
    <row r="252" spans="1:15" x14ac:dyDescent="0.2">
      <c r="A252" s="14"/>
      <c r="B252" s="15"/>
      <c r="J252" s="24"/>
      <c r="K252" s="24"/>
      <c r="L252" s="24"/>
      <c r="M252" s="24"/>
      <c r="N252" s="24"/>
      <c r="O252" s="24"/>
    </row>
    <row r="253" spans="1:15" x14ac:dyDescent="0.2">
      <c r="A253" s="14"/>
      <c r="B253" s="15"/>
      <c r="J253" s="24"/>
      <c r="K253" s="24"/>
      <c r="L253" s="24"/>
      <c r="M253" s="24"/>
      <c r="N253" s="24"/>
      <c r="O253" s="24"/>
    </row>
    <row r="254" spans="1:15" x14ac:dyDescent="0.2">
      <c r="A254" s="14"/>
      <c r="B254" s="15"/>
      <c r="J254" s="24"/>
      <c r="K254" s="24"/>
      <c r="L254" s="24"/>
      <c r="M254" s="24"/>
      <c r="N254" s="24"/>
      <c r="O254" s="24"/>
    </row>
    <row r="255" spans="1:15" x14ac:dyDescent="0.2">
      <c r="A255" s="14"/>
      <c r="B255" s="15"/>
      <c r="J255" s="24"/>
      <c r="K255" s="24"/>
      <c r="L255" s="24"/>
      <c r="M255" s="24"/>
      <c r="N255" s="24"/>
      <c r="O255" s="24"/>
    </row>
    <row r="256" spans="1:15" x14ac:dyDescent="0.2">
      <c r="A256" s="14"/>
      <c r="B256" s="15"/>
      <c r="J256" s="24"/>
      <c r="K256" s="24"/>
      <c r="L256" s="24"/>
      <c r="M256" s="24"/>
      <c r="N256" s="24"/>
      <c r="O256" s="24"/>
    </row>
    <row r="257" spans="1:15" x14ac:dyDescent="0.2">
      <c r="A257" s="14"/>
      <c r="B257" s="15"/>
      <c r="J257" s="24"/>
      <c r="K257" s="24"/>
      <c r="L257" s="24"/>
      <c r="M257" s="24"/>
      <c r="N257" s="24"/>
      <c r="O257" s="24"/>
    </row>
    <row r="258" spans="1:15" x14ac:dyDescent="0.2">
      <c r="A258" s="14"/>
      <c r="B258" s="15"/>
      <c r="J258" s="24"/>
      <c r="K258" s="24"/>
      <c r="L258" s="24"/>
      <c r="M258" s="24"/>
      <c r="N258" s="24"/>
      <c r="O258" s="24"/>
    </row>
    <row r="259" spans="1:15" x14ac:dyDescent="0.2">
      <c r="A259" s="14"/>
      <c r="B259" s="15"/>
      <c r="J259" s="24"/>
      <c r="K259" s="24"/>
      <c r="L259" s="24"/>
      <c r="M259" s="24"/>
      <c r="N259" s="24"/>
      <c r="O259" s="24"/>
    </row>
    <row r="260" spans="1:15" x14ac:dyDescent="0.2">
      <c r="A260" s="14"/>
      <c r="B260" s="15"/>
      <c r="J260" s="24"/>
      <c r="K260" s="24"/>
      <c r="L260" s="24"/>
      <c r="M260" s="24"/>
      <c r="N260" s="24"/>
      <c r="O260" s="24"/>
    </row>
    <row r="261" spans="1:15" x14ac:dyDescent="0.2">
      <c r="A261" s="14"/>
      <c r="B261" s="15"/>
      <c r="J261" s="24"/>
      <c r="K261" s="24"/>
      <c r="L261" s="24"/>
      <c r="M261" s="24"/>
      <c r="N261" s="24"/>
      <c r="O261" s="24"/>
    </row>
    <row r="262" spans="1:15" x14ac:dyDescent="0.2">
      <c r="A262" s="14"/>
      <c r="B262" s="15"/>
      <c r="J262" s="24"/>
      <c r="K262" s="24"/>
      <c r="L262" s="24"/>
      <c r="M262" s="24"/>
      <c r="N262" s="24"/>
      <c r="O262" s="24"/>
    </row>
    <row r="263" spans="1:15" x14ac:dyDescent="0.2">
      <c r="A263" s="14"/>
      <c r="B263" s="15"/>
      <c r="J263" s="24"/>
      <c r="K263" s="24"/>
      <c r="L263" s="24"/>
      <c r="M263" s="24"/>
      <c r="N263" s="24"/>
      <c r="O263" s="24"/>
    </row>
    <row r="264" spans="1:15" x14ac:dyDescent="0.2">
      <c r="A264" s="14"/>
      <c r="B264" s="15"/>
      <c r="J264" s="24"/>
      <c r="K264" s="24"/>
      <c r="L264" s="24"/>
      <c r="M264" s="24"/>
      <c r="N264" s="24"/>
      <c r="O264" s="24"/>
    </row>
    <row r="265" spans="1:15" x14ac:dyDescent="0.2">
      <c r="A265" s="14"/>
      <c r="B265" s="15"/>
      <c r="J265" s="24"/>
      <c r="K265" s="24"/>
      <c r="L265" s="24"/>
      <c r="M265" s="24"/>
      <c r="N265" s="24"/>
      <c r="O265" s="24"/>
    </row>
    <row r="266" spans="1:15" x14ac:dyDescent="0.2">
      <c r="A266" s="14"/>
      <c r="B266" s="15"/>
      <c r="J266" s="24"/>
      <c r="K266" s="24"/>
      <c r="L266" s="24"/>
      <c r="M266" s="24"/>
      <c r="N266" s="24"/>
      <c r="O266" s="24"/>
    </row>
    <row r="267" spans="1:15" x14ac:dyDescent="0.2">
      <c r="A267" s="14"/>
      <c r="B267" s="15"/>
      <c r="J267" s="24"/>
      <c r="K267" s="24"/>
      <c r="L267" s="24"/>
      <c r="M267" s="24"/>
      <c r="N267" s="24"/>
      <c r="O267" s="24"/>
    </row>
    <row r="268" spans="1:15" x14ac:dyDescent="0.2">
      <c r="A268" s="14"/>
      <c r="B268" s="15"/>
      <c r="J268" s="24"/>
      <c r="K268" s="24"/>
      <c r="L268" s="24"/>
      <c r="M268" s="24"/>
      <c r="N268" s="24"/>
      <c r="O268" s="24"/>
    </row>
    <row r="269" spans="1:15" x14ac:dyDescent="0.2">
      <c r="A269" s="14"/>
      <c r="B269" s="15"/>
      <c r="J269" s="24"/>
      <c r="K269" s="24"/>
      <c r="L269" s="24"/>
      <c r="M269" s="24"/>
      <c r="N269" s="24"/>
      <c r="O269" s="24"/>
    </row>
    <row r="270" spans="1:15" x14ac:dyDescent="0.2">
      <c r="A270" s="14"/>
      <c r="B270" s="15"/>
      <c r="J270" s="24"/>
      <c r="K270" s="24"/>
      <c r="L270" s="24"/>
      <c r="M270" s="24"/>
      <c r="N270" s="24"/>
      <c r="O270" s="24"/>
    </row>
    <row r="271" spans="1:15" x14ac:dyDescent="0.2">
      <c r="A271" s="14"/>
      <c r="B271" s="15"/>
      <c r="J271" s="24"/>
      <c r="K271" s="24"/>
      <c r="L271" s="24"/>
      <c r="M271" s="24"/>
      <c r="N271" s="24"/>
      <c r="O271" s="24"/>
    </row>
    <row r="272" spans="1:15" x14ac:dyDescent="0.2">
      <c r="A272" s="14"/>
      <c r="B272" s="15"/>
      <c r="J272" s="24"/>
      <c r="K272" s="24"/>
      <c r="L272" s="24"/>
      <c r="M272" s="24"/>
      <c r="N272" s="24"/>
      <c r="O272" s="24"/>
    </row>
    <row r="273" spans="1:15" x14ac:dyDescent="0.2">
      <c r="A273" s="14"/>
      <c r="B273" s="15"/>
      <c r="J273" s="24"/>
      <c r="K273" s="24"/>
      <c r="L273" s="24"/>
      <c r="M273" s="24"/>
      <c r="N273" s="24"/>
      <c r="O273" s="24"/>
    </row>
    <row r="274" spans="1:15" x14ac:dyDescent="0.2">
      <c r="A274" s="14"/>
      <c r="B274" s="15"/>
      <c r="J274" s="24"/>
      <c r="K274" s="24"/>
      <c r="L274" s="24"/>
      <c r="M274" s="24"/>
      <c r="N274" s="24"/>
      <c r="O274" s="24"/>
    </row>
    <row r="275" spans="1:15" x14ac:dyDescent="0.2">
      <c r="A275" s="14"/>
      <c r="B275" s="15"/>
      <c r="J275" s="24"/>
      <c r="K275" s="24"/>
      <c r="L275" s="24"/>
      <c r="M275" s="24"/>
      <c r="N275" s="24"/>
      <c r="O275" s="24"/>
    </row>
    <row r="276" spans="1:15" x14ac:dyDescent="0.2">
      <c r="A276" s="14"/>
      <c r="B276" s="15"/>
      <c r="J276" s="24"/>
      <c r="K276" s="24"/>
      <c r="L276" s="24"/>
      <c r="M276" s="24"/>
      <c r="N276" s="24"/>
      <c r="O276" s="24"/>
    </row>
    <row r="277" spans="1:15" x14ac:dyDescent="0.2">
      <c r="A277" s="14"/>
      <c r="B277" s="15"/>
      <c r="J277" s="24"/>
      <c r="K277" s="24"/>
      <c r="L277" s="24"/>
      <c r="M277" s="24"/>
      <c r="N277" s="24"/>
      <c r="O277" s="24"/>
    </row>
    <row r="278" spans="1:15" x14ac:dyDescent="0.2">
      <c r="A278" s="14"/>
      <c r="B278" s="15"/>
      <c r="J278" s="24"/>
      <c r="K278" s="24"/>
      <c r="L278" s="24"/>
      <c r="M278" s="24"/>
      <c r="N278" s="24"/>
      <c r="O278" s="24"/>
    </row>
    <row r="279" spans="1:15" x14ac:dyDescent="0.2">
      <c r="A279" s="14"/>
      <c r="B279" s="15"/>
      <c r="J279" s="24"/>
      <c r="K279" s="24"/>
      <c r="L279" s="24"/>
      <c r="M279" s="24"/>
      <c r="N279" s="24"/>
      <c r="O279" s="24"/>
    </row>
    <row r="280" spans="1:15" x14ac:dyDescent="0.2">
      <c r="A280" s="14"/>
      <c r="B280" s="15"/>
      <c r="J280" s="24"/>
      <c r="K280" s="24"/>
      <c r="L280" s="24"/>
      <c r="M280" s="24"/>
      <c r="N280" s="24"/>
      <c r="O280" s="24"/>
    </row>
    <row r="281" spans="1:15" x14ac:dyDescent="0.2">
      <c r="A281" s="14"/>
      <c r="B281" s="15"/>
      <c r="J281" s="24"/>
      <c r="K281" s="24"/>
      <c r="L281" s="24"/>
      <c r="M281" s="24"/>
      <c r="N281" s="24"/>
      <c r="O281" s="24"/>
    </row>
    <row r="282" spans="1:15" x14ac:dyDescent="0.2">
      <c r="A282" s="14"/>
      <c r="B282" s="15"/>
      <c r="J282" s="24"/>
      <c r="K282" s="24"/>
      <c r="L282" s="24"/>
      <c r="M282" s="24"/>
      <c r="N282" s="24"/>
      <c r="O282" s="24"/>
    </row>
    <row r="283" spans="1:15" x14ac:dyDescent="0.2">
      <c r="A283" s="14"/>
      <c r="B283" s="15"/>
      <c r="J283" s="24"/>
      <c r="K283" s="24"/>
      <c r="L283" s="24"/>
      <c r="M283" s="24"/>
      <c r="N283" s="24"/>
      <c r="O283" s="24"/>
    </row>
    <row r="284" spans="1:15" x14ac:dyDescent="0.2">
      <c r="A284" s="14"/>
      <c r="B284" s="15"/>
      <c r="J284" s="24"/>
      <c r="K284" s="24"/>
      <c r="L284" s="24"/>
      <c r="M284" s="24"/>
      <c r="N284" s="24"/>
      <c r="O284" s="24"/>
    </row>
    <row r="285" spans="1:15" x14ac:dyDescent="0.2">
      <c r="A285" s="14"/>
      <c r="B285" s="15"/>
      <c r="J285" s="24"/>
      <c r="K285" s="24"/>
      <c r="L285" s="24"/>
      <c r="M285" s="24"/>
      <c r="N285" s="24"/>
      <c r="O285" s="24"/>
    </row>
    <row r="286" spans="1:15" x14ac:dyDescent="0.2">
      <c r="A286" s="14"/>
      <c r="B286" s="15"/>
      <c r="J286" s="24"/>
      <c r="K286" s="24"/>
      <c r="L286" s="24"/>
      <c r="M286" s="24"/>
      <c r="N286" s="24"/>
      <c r="O286" s="24"/>
    </row>
    <row r="287" spans="1:15" x14ac:dyDescent="0.2">
      <c r="A287" s="14"/>
      <c r="B287" s="15"/>
      <c r="J287" s="24"/>
      <c r="K287" s="24"/>
      <c r="L287" s="24"/>
      <c r="M287" s="24"/>
      <c r="N287" s="24"/>
      <c r="O287" s="24"/>
    </row>
    <row r="288" spans="1:15" x14ac:dyDescent="0.2">
      <c r="A288" s="14"/>
      <c r="B288" s="15"/>
      <c r="J288" s="24"/>
      <c r="K288" s="24"/>
      <c r="L288" s="24"/>
      <c r="M288" s="24"/>
      <c r="N288" s="24"/>
      <c r="O288" s="24"/>
    </row>
    <row r="289" spans="1:15" x14ac:dyDescent="0.2">
      <c r="A289" s="14"/>
      <c r="B289" s="15"/>
      <c r="J289" s="24"/>
      <c r="K289" s="24"/>
      <c r="L289" s="24"/>
      <c r="M289" s="24"/>
      <c r="N289" s="24"/>
      <c r="O289" s="24"/>
    </row>
    <row r="290" spans="1:15" x14ac:dyDescent="0.2">
      <c r="A290" s="14"/>
      <c r="B290" s="15"/>
      <c r="J290" s="24"/>
      <c r="K290" s="24"/>
      <c r="L290" s="24"/>
      <c r="M290" s="24"/>
      <c r="N290" s="24"/>
      <c r="O290" s="24"/>
    </row>
    <row r="291" spans="1:15" x14ac:dyDescent="0.2">
      <c r="A291" s="14"/>
      <c r="B291" s="15"/>
      <c r="J291" s="24"/>
      <c r="K291" s="24"/>
      <c r="L291" s="24"/>
      <c r="M291" s="24"/>
      <c r="N291" s="24"/>
      <c r="O291" s="24"/>
    </row>
    <row r="292" spans="1:15" x14ac:dyDescent="0.2">
      <c r="A292" s="14"/>
      <c r="B292" s="15"/>
      <c r="J292" s="24"/>
      <c r="K292" s="24"/>
      <c r="L292" s="24"/>
      <c r="M292" s="24"/>
      <c r="N292" s="24"/>
      <c r="O292" s="24"/>
    </row>
    <row r="293" spans="1:15" x14ac:dyDescent="0.2">
      <c r="A293" s="14"/>
      <c r="B293" s="15"/>
      <c r="J293" s="24"/>
      <c r="K293" s="24"/>
      <c r="L293" s="24"/>
      <c r="M293" s="24"/>
      <c r="N293" s="24"/>
      <c r="O293" s="24"/>
    </row>
    <row r="294" spans="1:15" x14ac:dyDescent="0.2">
      <c r="A294" s="14"/>
      <c r="B294" s="15"/>
      <c r="J294" s="24"/>
      <c r="K294" s="24"/>
      <c r="L294" s="24"/>
      <c r="M294" s="24"/>
      <c r="N294" s="24"/>
      <c r="O294" s="24"/>
    </row>
    <row r="295" spans="1:15" x14ac:dyDescent="0.2">
      <c r="A295" s="14"/>
      <c r="B295" s="15"/>
      <c r="J295" s="24"/>
      <c r="K295" s="24"/>
      <c r="L295" s="24"/>
      <c r="M295" s="24"/>
      <c r="N295" s="24"/>
      <c r="O295" s="24"/>
    </row>
    <row r="296" spans="1:15" x14ac:dyDescent="0.2">
      <c r="A296" s="14"/>
      <c r="B296" s="15"/>
      <c r="J296" s="24"/>
      <c r="K296" s="24"/>
      <c r="L296" s="24"/>
      <c r="M296" s="24"/>
      <c r="N296" s="24"/>
      <c r="O296" s="24"/>
    </row>
    <row r="297" spans="1:15" x14ac:dyDescent="0.2">
      <c r="A297" s="14"/>
      <c r="B297" s="15"/>
      <c r="J297" s="24"/>
      <c r="K297" s="24"/>
      <c r="L297" s="24"/>
      <c r="M297" s="24"/>
      <c r="N297" s="24"/>
      <c r="O297" s="24"/>
    </row>
    <row r="298" spans="1:15" x14ac:dyDescent="0.2">
      <c r="A298" s="14"/>
      <c r="B298" s="15"/>
      <c r="J298" s="24"/>
      <c r="K298" s="24"/>
      <c r="L298" s="24"/>
      <c r="M298" s="24"/>
      <c r="N298" s="24"/>
      <c r="O298" s="24"/>
    </row>
    <row r="299" spans="1:15" x14ac:dyDescent="0.2">
      <c r="A299" s="14"/>
      <c r="B299" s="15"/>
      <c r="J299" s="24"/>
      <c r="K299" s="24"/>
      <c r="L299" s="24"/>
      <c r="M299" s="24"/>
      <c r="N299" s="24"/>
      <c r="O299" s="24"/>
    </row>
    <row r="300" spans="1:15" x14ac:dyDescent="0.2">
      <c r="A300" s="14"/>
      <c r="B300" s="15"/>
      <c r="J300" s="24"/>
      <c r="K300" s="24"/>
      <c r="L300" s="24"/>
      <c r="M300" s="24"/>
      <c r="N300" s="24"/>
      <c r="O300" s="24"/>
    </row>
    <row r="301" spans="1:15" x14ac:dyDescent="0.2">
      <c r="A301" s="14"/>
      <c r="B301" s="15"/>
    </row>
    <row r="302" spans="1:15" x14ac:dyDescent="0.2">
      <c r="A302" s="14"/>
      <c r="B302" s="15"/>
    </row>
    <row r="303" spans="1:15" x14ac:dyDescent="0.2">
      <c r="A303" s="14"/>
      <c r="B303" s="15"/>
    </row>
    <row r="304" spans="1:15" x14ac:dyDescent="0.2">
      <c r="A304" s="14"/>
      <c r="B304" s="15"/>
    </row>
    <row r="305" spans="1:2" x14ac:dyDescent="0.2">
      <c r="A305" s="14"/>
      <c r="B305" s="15"/>
    </row>
    <row r="306" spans="1:2" x14ac:dyDescent="0.2">
      <c r="A306" s="14"/>
      <c r="B306" s="15"/>
    </row>
    <row r="307" spans="1:2" x14ac:dyDescent="0.2">
      <c r="A307" s="14"/>
      <c r="B307" s="15"/>
    </row>
    <row r="308" spans="1:2" x14ac:dyDescent="0.2">
      <c r="A308" s="14"/>
      <c r="B308" s="15"/>
    </row>
    <row r="309" spans="1:2" x14ac:dyDescent="0.2">
      <c r="A309" s="14"/>
      <c r="B309" s="15"/>
    </row>
    <row r="310" spans="1:2" x14ac:dyDescent="0.2">
      <c r="A310" s="14"/>
      <c r="B310" s="15"/>
    </row>
    <row r="311" spans="1:2" x14ac:dyDescent="0.2">
      <c r="A311" s="14"/>
      <c r="B311" s="15"/>
    </row>
    <row r="312" spans="1:2" x14ac:dyDescent="0.2">
      <c r="A312" s="14"/>
      <c r="B312" s="15"/>
    </row>
    <row r="313" spans="1:2" x14ac:dyDescent="0.2">
      <c r="A313" s="14"/>
      <c r="B313" s="15"/>
    </row>
    <row r="314" spans="1:2" x14ac:dyDescent="0.2">
      <c r="A314" s="14"/>
      <c r="B314" s="15"/>
    </row>
    <row r="315" spans="1:2" x14ac:dyDescent="0.2">
      <c r="A315" s="14"/>
      <c r="B315" s="15"/>
    </row>
    <row r="316" spans="1:2" x14ac:dyDescent="0.2">
      <c r="A316" s="14"/>
      <c r="B316" s="15"/>
    </row>
    <row r="317" spans="1:2" x14ac:dyDescent="0.2">
      <c r="A317" s="14"/>
      <c r="B317" s="15"/>
    </row>
    <row r="318" spans="1:2" x14ac:dyDescent="0.2">
      <c r="A318" s="14"/>
      <c r="B318" s="15"/>
    </row>
  </sheetData>
  <autoFilter ref="A1:G261" xr:uid="{AE0C4619-4FD2-4B7F-AAA1-E423666609F1}"/>
  <dataConsolidate/>
  <phoneticPr fontId="2" type="noConversion"/>
  <pageMargins left="0.74791666666666701" right="0.74791666666666701" top="0.98402777777777795" bottom="0.9840277777777779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AList">
    <tabColor theme="9" tint="-0.499984740745262"/>
  </sheetPr>
  <dimension ref="A1:F34"/>
  <sheetViews>
    <sheetView showGridLines="0" zoomScaleNormal="100" workbookViewId="0">
      <selection activeCell="A35" sqref="A35:XFD35"/>
    </sheetView>
  </sheetViews>
  <sheetFormatPr defaultRowHeight="12.75" x14ac:dyDescent="0.2"/>
  <cols>
    <col min="1" max="1" width="24.5703125" customWidth="1"/>
    <col min="2" max="2" width="34" customWidth="1"/>
    <col min="3" max="3" width="14" customWidth="1"/>
    <col min="4" max="4" width="1.42578125" style="114" customWidth="1"/>
    <col min="5" max="5" width="1.85546875" style="114" customWidth="1"/>
    <col min="6" max="6" width="32.42578125" customWidth="1"/>
  </cols>
  <sheetData>
    <row r="1" spans="1:6" x14ac:dyDescent="0.2">
      <c r="A1" t="s">
        <v>97</v>
      </c>
      <c r="B1" s="110" t="s">
        <v>98</v>
      </c>
      <c r="C1" t="s">
        <v>40</v>
      </c>
      <c r="F1" t="str">
        <f t="shared" ref="F1:F21" si="0">UPPER(A1)</f>
        <v>ALDI</v>
      </c>
    </row>
    <row r="2" spans="1:6" x14ac:dyDescent="0.2">
      <c r="A2" t="s">
        <v>110</v>
      </c>
      <c r="B2" s="110" t="s">
        <v>117</v>
      </c>
      <c r="C2" t="s">
        <v>40</v>
      </c>
      <c r="F2" t="str">
        <f t="shared" si="0"/>
        <v>ALLOWAY FARM</v>
      </c>
    </row>
    <row r="3" spans="1:6" x14ac:dyDescent="0.2">
      <c r="A3" t="s">
        <v>123</v>
      </c>
      <c r="B3" s="110" t="s">
        <v>108</v>
      </c>
      <c r="C3" t="s">
        <v>40</v>
      </c>
      <c r="F3" t="str">
        <f t="shared" si="0"/>
        <v>BONNEMAMAN</v>
      </c>
    </row>
    <row r="4" spans="1:6" x14ac:dyDescent="0.2">
      <c r="A4" t="s">
        <v>100</v>
      </c>
      <c r="B4" s="110" t="s">
        <v>101</v>
      </c>
      <c r="C4" t="s">
        <v>40</v>
      </c>
      <c r="F4" t="str">
        <f t="shared" si="0"/>
        <v>CARTE MEAT</v>
      </c>
    </row>
    <row r="5" spans="1:6" x14ac:dyDescent="0.2">
      <c r="A5" s="110" t="s">
        <v>82</v>
      </c>
      <c r="B5" s="110" t="s">
        <v>85</v>
      </c>
      <c r="C5" t="s">
        <v>40</v>
      </c>
      <c r="F5" t="str">
        <f t="shared" si="0"/>
        <v>COLES</v>
      </c>
    </row>
    <row r="6" spans="1:6" x14ac:dyDescent="0.2">
      <c r="A6" s="110" t="s">
        <v>126</v>
      </c>
      <c r="B6" s="110" t="s">
        <v>76</v>
      </c>
      <c r="C6" t="s">
        <v>40</v>
      </c>
      <c r="F6" t="str">
        <f t="shared" si="0"/>
        <v>CRUSTY EDGE BAKERY</v>
      </c>
    </row>
    <row r="7" spans="1:6" x14ac:dyDescent="0.2">
      <c r="A7" t="s">
        <v>111</v>
      </c>
      <c r="B7" s="110" t="s">
        <v>117</v>
      </c>
      <c r="C7" t="s">
        <v>40</v>
      </c>
      <c r="F7" t="str">
        <f t="shared" si="0"/>
        <v>DRAKE SUPER</v>
      </c>
    </row>
    <row r="8" spans="1:6" x14ac:dyDescent="0.2">
      <c r="A8" t="s">
        <v>107</v>
      </c>
      <c r="B8" s="110" t="s">
        <v>117</v>
      </c>
      <c r="C8" t="s">
        <v>40</v>
      </c>
      <c r="F8" t="str">
        <f t="shared" si="0"/>
        <v>FLANNERYS</v>
      </c>
    </row>
    <row r="9" spans="1:6" x14ac:dyDescent="0.2">
      <c r="A9" s="110" t="s">
        <v>88</v>
      </c>
      <c r="B9" s="110" t="s">
        <v>92</v>
      </c>
      <c r="C9" t="s">
        <v>40</v>
      </c>
      <c r="F9" t="str">
        <f t="shared" si="0"/>
        <v>FOOD</v>
      </c>
    </row>
    <row r="10" spans="1:6" x14ac:dyDescent="0.2">
      <c r="A10" s="110" t="s">
        <v>120</v>
      </c>
      <c r="B10" s="110" t="s">
        <v>92</v>
      </c>
      <c r="C10" t="s">
        <v>40</v>
      </c>
      <c r="F10" t="str">
        <f t="shared" si="0"/>
        <v>FOR FOOD</v>
      </c>
    </row>
    <row r="11" spans="1:6" x14ac:dyDescent="0.2">
      <c r="A11" s="110" t="s">
        <v>91</v>
      </c>
      <c r="B11" s="110" t="s">
        <v>92</v>
      </c>
      <c r="C11" t="s">
        <v>40</v>
      </c>
      <c r="F11" t="str">
        <f t="shared" si="0"/>
        <v>FROOT</v>
      </c>
    </row>
    <row r="12" spans="1:6" x14ac:dyDescent="0.2">
      <c r="A12" s="110" t="s">
        <v>78</v>
      </c>
      <c r="B12" s="110" t="s">
        <v>92</v>
      </c>
      <c r="C12" t="s">
        <v>40</v>
      </c>
      <c r="F12" t="str">
        <f t="shared" si="0"/>
        <v>FRUIT</v>
      </c>
    </row>
    <row r="13" spans="1:6" x14ac:dyDescent="0.2">
      <c r="A13" s="110" t="s">
        <v>124</v>
      </c>
      <c r="B13" s="110" t="s">
        <v>76</v>
      </c>
      <c r="C13" t="s">
        <v>40</v>
      </c>
      <c r="F13" t="str">
        <f t="shared" si="0"/>
        <v>GC FACTORY</v>
      </c>
    </row>
    <row r="14" spans="1:6" x14ac:dyDescent="0.2">
      <c r="A14" s="110" t="s">
        <v>77</v>
      </c>
      <c r="B14" s="110" t="s">
        <v>86</v>
      </c>
      <c r="C14" t="s">
        <v>40</v>
      </c>
      <c r="F14" t="str">
        <f t="shared" si="0"/>
        <v>IGA</v>
      </c>
    </row>
    <row r="15" spans="1:6" x14ac:dyDescent="0.2">
      <c r="A15" t="s">
        <v>122</v>
      </c>
      <c r="B15" s="110" t="s">
        <v>117</v>
      </c>
      <c r="C15" t="s">
        <v>40</v>
      </c>
      <c r="F15" t="str">
        <f t="shared" si="0"/>
        <v>LINVILLE STORE</v>
      </c>
    </row>
    <row r="16" spans="1:6" x14ac:dyDescent="0.2">
      <c r="A16" t="s">
        <v>121</v>
      </c>
      <c r="B16" s="110" t="s">
        <v>92</v>
      </c>
      <c r="C16" t="s">
        <v>40</v>
      </c>
      <c r="F16" t="str">
        <f t="shared" si="0"/>
        <v>MEGA DISCOUTN</v>
      </c>
    </row>
    <row r="17" spans="1:6" x14ac:dyDescent="0.2">
      <c r="A17" t="s">
        <v>89</v>
      </c>
      <c r="B17" s="110" t="s">
        <v>119</v>
      </c>
      <c r="C17" t="s">
        <v>40</v>
      </c>
      <c r="F17" t="str">
        <f t="shared" si="0"/>
        <v>MERLO</v>
      </c>
    </row>
    <row r="18" spans="1:6" x14ac:dyDescent="0.2">
      <c r="A18" s="110" t="s">
        <v>83</v>
      </c>
      <c r="B18" s="110" t="s">
        <v>92</v>
      </c>
      <c r="C18" t="s">
        <v>40</v>
      </c>
      <c r="F18" t="str">
        <f t="shared" si="0"/>
        <v>MUSHROOM</v>
      </c>
    </row>
    <row r="19" spans="1:6" x14ac:dyDescent="0.2">
      <c r="A19" t="s">
        <v>116</v>
      </c>
      <c r="B19" s="110" t="s">
        <v>117</v>
      </c>
      <c r="C19" t="s">
        <v>40</v>
      </c>
      <c r="F19" t="str">
        <f t="shared" si="0"/>
        <v>NUG. GENERAL STORE</v>
      </c>
    </row>
    <row r="20" spans="1:6" x14ac:dyDescent="0.2">
      <c r="A20" t="s">
        <v>112</v>
      </c>
      <c r="B20" s="110" t="s">
        <v>118</v>
      </c>
      <c r="C20" t="s">
        <v>40</v>
      </c>
      <c r="F20" t="str">
        <f t="shared" si="0"/>
        <v>PRESTIGE MEATS</v>
      </c>
    </row>
    <row r="21" spans="1:6" x14ac:dyDescent="0.2">
      <c r="A21" s="110" t="s">
        <v>79</v>
      </c>
      <c r="B21" s="110" t="s">
        <v>92</v>
      </c>
      <c r="C21" t="s">
        <v>40</v>
      </c>
      <c r="F21" t="str">
        <f t="shared" si="0"/>
        <v>PRODUCE</v>
      </c>
    </row>
    <row r="22" spans="1:6" x14ac:dyDescent="0.2">
      <c r="A22" t="s">
        <v>105</v>
      </c>
      <c r="B22" s="110" t="s">
        <v>106</v>
      </c>
      <c r="C22" t="s">
        <v>40</v>
      </c>
      <c r="F22" t="str">
        <f t="shared" ref="F22:F34" si="1">UPPER(A22)</f>
        <v>QUITELIKE</v>
      </c>
    </row>
    <row r="23" spans="1:6" x14ac:dyDescent="0.2">
      <c r="A23" s="110" t="s">
        <v>125</v>
      </c>
      <c r="B23" s="110" t="s">
        <v>92</v>
      </c>
      <c r="C23" t="s">
        <v>40</v>
      </c>
      <c r="F23" t="str">
        <f t="shared" si="1"/>
        <v>REDLANDS PRODUCE</v>
      </c>
    </row>
    <row r="24" spans="1:6" x14ac:dyDescent="0.2">
      <c r="A24" t="s">
        <v>114</v>
      </c>
      <c r="B24" s="110" t="s">
        <v>117</v>
      </c>
      <c r="C24" t="s">
        <v>40</v>
      </c>
      <c r="F24" t="str">
        <f t="shared" si="1"/>
        <v>SEASONS SUPER</v>
      </c>
    </row>
    <row r="25" spans="1:6" x14ac:dyDescent="0.2">
      <c r="A25" t="s">
        <v>115</v>
      </c>
      <c r="B25" s="110" t="s">
        <v>92</v>
      </c>
      <c r="C25" t="s">
        <v>40</v>
      </c>
      <c r="F25" t="str">
        <f t="shared" si="1"/>
        <v>SKIPPY</v>
      </c>
    </row>
    <row r="26" spans="1:6" x14ac:dyDescent="0.2">
      <c r="A26" t="s">
        <v>102</v>
      </c>
      <c r="B26" s="110" t="s">
        <v>103</v>
      </c>
      <c r="C26" t="s">
        <v>40</v>
      </c>
      <c r="F26" t="str">
        <f t="shared" si="1"/>
        <v>SPAR</v>
      </c>
    </row>
    <row r="27" spans="1:6" x14ac:dyDescent="0.2">
      <c r="A27" s="110" t="s">
        <v>90</v>
      </c>
      <c r="B27" s="110" t="s">
        <v>76</v>
      </c>
      <c r="C27" t="s">
        <v>40</v>
      </c>
      <c r="F27" t="str">
        <f t="shared" si="1"/>
        <v>SUPERMARKET</v>
      </c>
    </row>
    <row r="28" spans="1:6" x14ac:dyDescent="0.2">
      <c r="A28" s="110" t="s">
        <v>75</v>
      </c>
      <c r="B28" s="110" t="s">
        <v>84</v>
      </c>
      <c r="C28" t="s">
        <v>40</v>
      </c>
      <c r="F28" t="str">
        <f t="shared" si="1"/>
        <v>WOOLWORTHS</v>
      </c>
    </row>
    <row r="29" spans="1:6" x14ac:dyDescent="0.2">
      <c r="A29" s="110" t="s">
        <v>87</v>
      </c>
      <c r="B29" s="110" t="s">
        <v>81</v>
      </c>
      <c r="C29" t="s">
        <v>41</v>
      </c>
      <c r="F29" t="str">
        <f t="shared" si="1"/>
        <v>1 BEAN</v>
      </c>
    </row>
    <row r="30" spans="1:6" x14ac:dyDescent="0.2">
      <c r="A30" t="s">
        <v>109</v>
      </c>
      <c r="B30" s="110" t="s">
        <v>81</v>
      </c>
      <c r="C30" t="s">
        <v>41</v>
      </c>
      <c r="F30" t="str">
        <f t="shared" si="1"/>
        <v>ALEXANDRA HILLS HOT</v>
      </c>
    </row>
    <row r="31" spans="1:6" x14ac:dyDescent="0.2">
      <c r="A31" s="110" t="s">
        <v>96</v>
      </c>
      <c r="B31" s="110" t="s">
        <v>81</v>
      </c>
      <c r="C31" t="s">
        <v>41</v>
      </c>
      <c r="F31" t="str">
        <f t="shared" si="1"/>
        <v>ALH VEN</v>
      </c>
    </row>
    <row r="32" spans="1:6" x14ac:dyDescent="0.2">
      <c r="A32" t="s">
        <v>99</v>
      </c>
      <c r="B32" s="110" t="s">
        <v>81</v>
      </c>
      <c r="C32" t="s">
        <v>41</v>
      </c>
      <c r="F32" t="str">
        <f t="shared" si="1"/>
        <v>ANZAC SQUARE CARVERY</v>
      </c>
    </row>
    <row r="33" spans="1:6" x14ac:dyDescent="0.2">
      <c r="A33" s="110" t="s">
        <v>80</v>
      </c>
      <c r="B33" s="110" t="s">
        <v>81</v>
      </c>
      <c r="C33" t="s">
        <v>41</v>
      </c>
      <c r="F33" t="str">
        <f t="shared" si="1"/>
        <v>BAKERY</v>
      </c>
    </row>
    <row r="34" spans="1:6" x14ac:dyDescent="0.2">
      <c r="A34" t="s">
        <v>95</v>
      </c>
      <c r="B34" s="110" t="s">
        <v>81</v>
      </c>
      <c r="C34" t="s">
        <v>41</v>
      </c>
      <c r="F34" t="str">
        <f t="shared" si="1"/>
        <v>BANJOS</v>
      </c>
    </row>
  </sheetData>
  <sortState xmlns:xlrd2="http://schemas.microsoft.com/office/spreadsheetml/2017/richdata2" ref="A1:C34">
    <sortCondition ref="C1:C34"/>
    <sortCondition ref="A1:A34"/>
  </sortState>
  <pageMargins left="0.74791666666666701" right="0.74791666666666701" top="0.98402777777777795" bottom="0.98402777777777795" header="0.51180555555555496" footer="0.51180555555555496"/>
  <pageSetup paperSize="9" firstPageNumber="0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75C08-8CF1-4602-974B-E43198173068}">
  <sheetPr codeName="shytsummary0">
    <tabColor rgb="FFFF0000"/>
  </sheetPr>
  <dimension ref="A1:T35"/>
  <sheetViews>
    <sheetView showGridLines="0" zoomScaleNormal="100" workbookViewId="0">
      <selection activeCell="P16" sqref="P16"/>
    </sheetView>
  </sheetViews>
  <sheetFormatPr defaultColWidth="8.85546875" defaultRowHeight="12.75" x14ac:dyDescent="0.2"/>
  <cols>
    <col min="1" max="1" width="1.28515625" customWidth="1"/>
    <col min="2" max="2" width="2.42578125" customWidth="1"/>
    <col min="3" max="3" width="1.7109375" customWidth="1"/>
    <col min="4" max="4" width="17.7109375" customWidth="1"/>
    <col min="5" max="5" width="13.7109375" style="54" customWidth="1"/>
    <col min="6" max="6" width="1.7109375" customWidth="1"/>
    <col min="7" max="7" width="17.7109375" customWidth="1"/>
    <col min="8" max="8" width="13.7109375" customWidth="1"/>
    <col min="9" max="9" width="1.7109375" customWidth="1"/>
    <col min="10" max="10" width="17.7109375" customWidth="1"/>
    <col min="11" max="11" width="13.7109375" customWidth="1"/>
    <col min="12" max="12" width="1.7109375" customWidth="1"/>
    <col min="13" max="13" width="20.7109375" customWidth="1"/>
    <col min="14" max="14" width="13.7109375" customWidth="1"/>
    <col min="15" max="15" width="1.7109375" customWidth="1"/>
    <col min="16" max="16" width="20.7109375" customWidth="1"/>
    <col min="17" max="17" width="13.7109375" customWidth="1"/>
    <col min="18" max="18" width="1.7109375" customWidth="1"/>
    <col min="19" max="19" width="58.7109375" customWidth="1"/>
    <col min="20" max="20" width="49.7109375" customWidth="1"/>
  </cols>
  <sheetData>
    <row r="1" spans="1:20" ht="3.75" customHeight="1" x14ac:dyDescent="0.2">
      <c r="A1" s="63"/>
      <c r="B1" s="63"/>
      <c r="C1" s="63"/>
      <c r="D1" s="63"/>
      <c r="E1" s="64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</row>
    <row r="2" spans="1:20" ht="3.75" customHeight="1" x14ac:dyDescent="0.2">
      <c r="A2" s="63"/>
      <c r="B2" s="63"/>
      <c r="C2" s="63"/>
      <c r="D2" s="63"/>
      <c r="E2" s="64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</row>
    <row r="3" spans="1:20" x14ac:dyDescent="0.2">
      <c r="A3" s="63"/>
      <c r="B3" s="63"/>
      <c r="C3" s="63"/>
      <c r="D3" s="63"/>
      <c r="E3" s="64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</row>
    <row r="4" spans="1:20" ht="10.5" customHeight="1" thickBot="1" x14ac:dyDescent="0.25">
      <c r="A4" s="63"/>
      <c r="B4" s="61"/>
      <c r="C4" s="61"/>
      <c r="D4" s="61"/>
      <c r="E4" s="62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3"/>
      <c r="T4" s="63"/>
    </row>
    <row r="5" spans="1:20" ht="15.75" thickTop="1" x14ac:dyDescent="0.25">
      <c r="A5" s="63"/>
      <c r="B5" s="84"/>
      <c r="C5" s="85"/>
      <c r="D5" s="150" t="s">
        <v>14</v>
      </c>
      <c r="E5" s="151"/>
      <c r="G5" s="142" t="s">
        <v>0</v>
      </c>
      <c r="H5" s="143"/>
      <c r="J5" s="142" t="s">
        <v>4</v>
      </c>
      <c r="K5" s="143"/>
      <c r="M5" s="142" t="s">
        <v>52</v>
      </c>
      <c r="N5" s="143"/>
      <c r="P5" s="142" t="s">
        <v>34</v>
      </c>
      <c r="Q5" s="143"/>
      <c r="R5" s="61"/>
      <c r="S5" s="63"/>
      <c r="T5" s="63"/>
    </row>
    <row r="6" spans="1:20" x14ac:dyDescent="0.2">
      <c r="A6" s="63"/>
      <c r="B6" s="86"/>
      <c r="C6" s="85"/>
      <c r="D6" s="55" t="s">
        <v>7</v>
      </c>
      <c r="E6" s="73">
        <f>calcCodes(4,"DLXALI",E15,E16) + calcCodes(5,"DLXALI",E17,E18)</f>
        <v>0</v>
      </c>
      <c r="G6" s="55" t="s">
        <v>47</v>
      </c>
      <c r="H6" s="73">
        <f>calcCodes(3,"INSUHOM",E13,E14) + calcCodes(4,"INSUHOM",E15,E16)</f>
        <v>0</v>
      </c>
      <c r="J6" s="55" t="s">
        <v>8</v>
      </c>
      <c r="K6" s="73">
        <f>calcCodes(4,"OTHTRF",E15,E16) + calcCodes(5,"OTHTRF",E17,E18)</f>
        <v>0</v>
      </c>
      <c r="M6" s="55" t="s">
        <v>45</v>
      </c>
      <c r="N6" s="73">
        <f>calcCodes(3,"HSHPHO",E13,E14) + calcCodes(4,"HSHPHO",E15,E16) + calcCodes(5,"HSHPHO",E17,E18)</f>
        <v>0</v>
      </c>
      <c r="P6" s="55" t="s">
        <v>132</v>
      </c>
      <c r="Q6" s="73">
        <f>calcCodes(3,"BKFEECH",E13,E14) + calcCodes(4,"BKFEECH",E15,E16) + calcCodes(5,"BKFEECH",E17,E18)</f>
        <v>0</v>
      </c>
      <c r="R6" s="61"/>
      <c r="S6" s="63"/>
      <c r="T6" s="63"/>
    </row>
    <row r="7" spans="1:20" x14ac:dyDescent="0.2">
      <c r="A7" s="63"/>
      <c r="B7" s="86"/>
      <c r="C7" s="85"/>
      <c r="D7" s="57" t="s">
        <v>11</v>
      </c>
      <c r="E7" s="74">
        <f>calcCodes(4,"DLXDIN",E15,E16) + calcCodes(5,"DLXDIN",E17,E18)</f>
        <v>0</v>
      </c>
      <c r="G7" s="57" t="s">
        <v>46</v>
      </c>
      <c r="H7" s="74">
        <f>calcCodes(3,"INSUMOT",E13,E14) + calcCodes(4,"INSUMOT",E15,E16)</f>
        <v>0</v>
      </c>
      <c r="J7" s="57" t="s">
        <v>10</v>
      </c>
      <c r="K7" s="74">
        <f>calcCodes(3,"OTHTRM",E13,E14) + calcCodes(4,"OTHTRM",E15,E16) + calcCodes(5,"OTHTRM",E17,E18)</f>
        <v>0</v>
      </c>
      <c r="M7" s="57" t="s">
        <v>17</v>
      </c>
      <c r="N7" s="74">
        <f>calcCodes(3,"HSHITX",E13,E14) + calcCodes(4,"HSHITX",E15,E16) + calcCodes(5,"HSHITX",E17,E18)</f>
        <v>0</v>
      </c>
      <c r="P7" s="57"/>
      <c r="Q7" s="74"/>
      <c r="R7" s="61"/>
      <c r="S7" s="63"/>
      <c r="T7" s="63"/>
    </row>
    <row r="8" spans="1:20" x14ac:dyDescent="0.2">
      <c r="A8" s="63"/>
      <c r="B8" s="85"/>
      <c r="C8" s="85"/>
      <c r="D8" s="55" t="s">
        <v>13</v>
      </c>
      <c r="E8" s="73">
        <f>calcCodes(4,"DLXALC",E15,E16) + calcCodes(5,"DLXALC",E17,E18)</f>
        <v>0</v>
      </c>
      <c r="G8" s="55" t="s">
        <v>113</v>
      </c>
      <c r="H8" s="73">
        <f>calcCodes(3,"INSURAC",E13,E14) + calcCodes(4,"INSURAC",E15,E16)</f>
        <v>0</v>
      </c>
      <c r="J8" s="55" t="s">
        <v>12</v>
      </c>
      <c r="K8" s="73">
        <f>calcCodes(4,"OTHTRP",E15,E16) + calcCodes(5,"OTHTRP",E17,E18)</f>
        <v>0</v>
      </c>
      <c r="M8" s="55" t="s">
        <v>50</v>
      </c>
      <c r="N8" s="73">
        <f>calcCodes(3,"HSHUTI",E13,E14) + calcCodes(4,"HSHUTI",E15,E16) + calcCodes(5,"HSHUTI",E17,E18)</f>
        <v>0</v>
      </c>
      <c r="P8" s="55"/>
      <c r="Q8" s="83"/>
      <c r="R8" s="61"/>
      <c r="S8" s="63"/>
      <c r="T8" s="63"/>
    </row>
    <row r="9" spans="1:20" x14ac:dyDescent="0.2">
      <c r="A9" s="63"/>
      <c r="B9" s="85"/>
      <c r="C9" s="85"/>
      <c r="D9" s="57" t="s">
        <v>16</v>
      </c>
      <c r="E9" s="74">
        <f>calcCodes(4,"DLXENT",E15,E16)</f>
        <v>0</v>
      </c>
      <c r="G9" s="57"/>
      <c r="H9" s="58"/>
      <c r="J9" s="57" t="s">
        <v>36</v>
      </c>
      <c r="K9" s="74">
        <f>calcCodes(3,"OTHTRT",E13,E14) + calcCodes(4,"OTHTRT",E15,E16) + calcCodes(5,"OTHTRT",E17,E18)</f>
        <v>0</v>
      </c>
      <c r="M9" s="57" t="s">
        <v>51</v>
      </c>
      <c r="N9" s="74">
        <f>calcCodes(3,"HSHLGL",E13,E14) + calcCodes(4,"HSHLGL",E15,E16) + calcCodes(5,"HSHLGL",E17,E18)</f>
        <v>0</v>
      </c>
      <c r="P9" s="57"/>
      <c r="Q9" s="74"/>
      <c r="R9" s="61"/>
      <c r="S9" s="63"/>
      <c r="T9" s="63"/>
    </row>
    <row r="10" spans="1:20" ht="13.5" thickBot="1" x14ac:dyDescent="0.25">
      <c r="A10" s="63"/>
      <c r="B10" s="85"/>
      <c r="C10" s="85"/>
      <c r="D10" s="55" t="s">
        <v>9</v>
      </c>
      <c r="E10" s="73">
        <f>calcCodes(4,"DLXHAI",E15,E16)</f>
        <v>0</v>
      </c>
      <c r="G10" s="55"/>
      <c r="H10" s="88">
        <f>SUM(H6:H9)</f>
        <v>0</v>
      </c>
      <c r="J10" s="55" t="s">
        <v>57</v>
      </c>
      <c r="K10" s="73">
        <f>calcCodes(3,"OTHTRR",E13,E14) + calcCodes(4,"OTHTRR",E15,E16) + calcCodes(5,"OTHTRR",E17,E18)</f>
        <v>0</v>
      </c>
      <c r="M10" s="80"/>
      <c r="N10" s="81"/>
      <c r="P10" s="80"/>
      <c r="Q10" s="81"/>
      <c r="R10" s="61"/>
      <c r="S10" s="63"/>
      <c r="T10" s="63"/>
    </row>
    <row r="11" spans="1:20" ht="13.5" thickTop="1" x14ac:dyDescent="0.2">
      <c r="A11" s="63"/>
      <c r="B11" s="85"/>
      <c r="C11" s="85"/>
      <c r="D11" s="57" t="s">
        <v>18</v>
      </c>
      <c r="E11" s="74">
        <f>calcCodes(4,"HSHUNK",E15,E16)</f>
        <v>0</v>
      </c>
      <c r="G11" s="144" t="s">
        <v>5</v>
      </c>
      <c r="H11" s="145"/>
      <c r="J11" s="142" t="s">
        <v>127</v>
      </c>
      <c r="K11" s="143"/>
      <c r="M11" s="144" t="s">
        <v>35</v>
      </c>
      <c r="N11" s="145"/>
      <c r="P11" s="146" t="s">
        <v>42</v>
      </c>
      <c r="Q11" s="147"/>
      <c r="R11" s="61"/>
      <c r="S11" s="63"/>
      <c r="T11" s="63"/>
    </row>
    <row r="12" spans="1:20" x14ac:dyDescent="0.2">
      <c r="A12" s="63"/>
      <c r="B12" s="85"/>
      <c r="C12" s="85"/>
      <c r="D12" s="148" t="s">
        <v>64</v>
      </c>
      <c r="E12" s="149"/>
      <c r="G12" s="55" t="s">
        <v>38</v>
      </c>
      <c r="H12" s="73">
        <f>calcCodes(3,"HSHMED",E13,E14) + calcCodes(4,"HSHMED",E15,E16) + calcCodes(5,"HSHMED",E17,E18)</f>
        <v>0</v>
      </c>
      <c r="J12" s="55" t="s">
        <v>44</v>
      </c>
      <c r="K12" s="73">
        <f>calcCodes(3,"HSHMAI",E13,E14) + calcCodes(4,"HSHMAI",E15,E16) + calcCodes(5,"HSHMAI",E17,E18)</f>
        <v>0</v>
      </c>
      <c r="M12" s="55" t="s">
        <v>65</v>
      </c>
      <c r="N12" s="73">
        <f>calcCodes(3,"OTHGFF",E13,E14) + calcCodes(4,"OTHGFF",E15,E16) + calcCodes(5,"OTHGFT",E17,E18)</f>
        <v>0</v>
      </c>
      <c r="P12" s="65" t="s">
        <v>138</v>
      </c>
      <c r="Q12" s="66">
        <f>calcCodes(5,"REVUSSS",E17,E18)</f>
        <v>0</v>
      </c>
      <c r="R12" s="61"/>
      <c r="S12" s="63"/>
      <c r="T12" s="63"/>
    </row>
    <row r="13" spans="1:20" x14ac:dyDescent="0.2">
      <c r="A13" s="63"/>
      <c r="B13" s="85"/>
      <c r="C13" s="85"/>
      <c r="D13" s="103" t="s">
        <v>62</v>
      </c>
      <c r="E13" s="106">
        <v>2</v>
      </c>
      <c r="G13" s="57" t="s">
        <v>39</v>
      </c>
      <c r="H13" s="74">
        <f>calcCodes(3,"HSHMDA",E13,E14) + calcCodes(4,"HSHMDA",E15,E16) + calcCodes(5,"HSHMDA",E17,E18)</f>
        <v>0</v>
      </c>
      <c r="J13" s="57" t="s">
        <v>128</v>
      </c>
      <c r="K13" s="74">
        <f>calcCodes(3,"HSHOTH",E13,E14) + calcCodes(4,"HSHOTH",E15,E16) + calcCodes(5,"HSHOTH",E17,E18)</f>
        <v>0</v>
      </c>
      <c r="M13" s="57" t="s">
        <v>6</v>
      </c>
      <c r="N13" s="74">
        <f>calcCodes(3,"OTHDON",E13,E14) + calcCodes(4,"OTHDON",E15,E16) + calcCodes(5,"OTHDON",E17,E18)</f>
        <v>0</v>
      </c>
      <c r="P13" s="67" t="s">
        <v>139</v>
      </c>
      <c r="Q13" s="68">
        <f>calcCodes(5,"REVUSSJ",E17,E18)</f>
        <v>0</v>
      </c>
      <c r="R13" s="61"/>
      <c r="S13" s="63"/>
      <c r="T13" s="63"/>
    </row>
    <row r="14" spans="1:20" ht="13.5" thickBot="1" x14ac:dyDescent="0.25">
      <c r="A14" s="63"/>
      <c r="B14" s="85"/>
      <c r="C14" s="85"/>
      <c r="D14" s="103" t="s">
        <v>63</v>
      </c>
      <c r="E14" s="106">
        <v>800</v>
      </c>
      <c r="G14" s="55"/>
      <c r="H14" s="73"/>
      <c r="J14" s="55" t="s">
        <v>43</v>
      </c>
      <c r="K14" s="73">
        <f>calcCodes(3,"HSHFUR",E13,E14) + calcCodes(4,"HSHFUR",E15,E16) + calcCodes(5,"HSHFUR",E17,E18)</f>
        <v>0</v>
      </c>
      <c r="M14" s="55" t="s">
        <v>48</v>
      </c>
      <c r="N14" s="73">
        <f>calcCodes(3,"OTHHOR",E13,E14) + calcCodes(4,"OTHHOR",E15,E16) + calcCodes(5,"OTHHOR",E17,E18)</f>
        <v>0</v>
      </c>
      <c r="P14" s="107" t="s">
        <v>140</v>
      </c>
      <c r="Q14" s="108">
        <f>calcCodes(3,"REVAUPN",E13,E14)</f>
        <v>0</v>
      </c>
      <c r="R14" s="61"/>
      <c r="S14" s="63"/>
      <c r="T14" s="63"/>
    </row>
    <row r="15" spans="1:20" ht="14.25" thickTop="1" thickBot="1" x14ac:dyDescent="0.25">
      <c r="A15" s="63"/>
      <c r="B15" s="85"/>
      <c r="C15" s="85"/>
      <c r="D15" s="103" t="s">
        <v>60</v>
      </c>
      <c r="E15" s="106">
        <v>2</v>
      </c>
      <c r="G15" s="57"/>
      <c r="H15" s="74"/>
      <c r="J15" s="59" t="s">
        <v>44</v>
      </c>
      <c r="K15" s="89">
        <f>calcCodes(3,"HSHMAI",E13,E14) + calcCodes(4,"HSHMAI",E15,E16) + calcCodes(5,"HSHMAI",E17,E18)</f>
        <v>0</v>
      </c>
      <c r="M15" s="57" t="s">
        <v>49</v>
      </c>
      <c r="N15" s="74">
        <f>calcCodes(3,"OTHHOJ",E13,E14) + calcCodes(4,"OTHHOJ",E15,E16) + calcCodes(5,"OTHHOJ",E17,E18)</f>
        <v>0</v>
      </c>
      <c r="P15" s="67" t="s">
        <v>128</v>
      </c>
      <c r="Q15" s="68">
        <f>calcCodes(5,"BKTFINGP",E17,E18)</f>
        <v>0</v>
      </c>
      <c r="R15" s="61"/>
      <c r="S15" s="63"/>
      <c r="T15" s="63"/>
    </row>
    <row r="16" spans="1:20" ht="13.5" thickTop="1" x14ac:dyDescent="0.2">
      <c r="A16" s="63"/>
      <c r="B16" s="85"/>
      <c r="C16" s="85"/>
      <c r="D16" s="103" t="s">
        <v>61</v>
      </c>
      <c r="E16" s="106">
        <v>1000</v>
      </c>
      <c r="G16" s="55"/>
      <c r="H16" s="73"/>
      <c r="J16" s="142" t="s">
        <v>129</v>
      </c>
      <c r="K16" s="143"/>
      <c r="M16" s="55"/>
      <c r="N16" s="73"/>
      <c r="P16" s="65" t="s">
        <v>133</v>
      </c>
      <c r="Q16" s="66">
        <f>calcCodes(3,"REVAUSR",E13,E14) + calcCodes(4,"REVAUSR",E15,E16) + calcCodes(5,"REVAUSR",E17,E18)</f>
        <v>0</v>
      </c>
      <c r="R16" s="61"/>
      <c r="S16" s="63"/>
      <c r="T16" s="63"/>
    </row>
    <row r="17" spans="1:20" ht="13.5" thickBot="1" x14ac:dyDescent="0.25">
      <c r="A17" s="63"/>
      <c r="B17" s="85"/>
      <c r="C17" s="85"/>
      <c r="D17" s="103" t="s">
        <v>58</v>
      </c>
      <c r="E17" s="106">
        <v>2</v>
      </c>
      <c r="G17" s="57"/>
      <c r="H17" s="74"/>
      <c r="J17" s="57" t="s">
        <v>130</v>
      </c>
      <c r="K17" s="74">
        <f>calcCodes(3,"HOLSOZL",E13,E14) + calcCodes(4,"HOLSOZL",E15,E16) + calcCodes(5,"HOLSOZL",E17,E18)</f>
        <v>0</v>
      </c>
      <c r="M17" s="59"/>
      <c r="N17" s="89"/>
      <c r="P17" s="67" t="s">
        <v>134</v>
      </c>
      <c r="Q17" s="68">
        <f>calcCodes(3,"REVLPR",E13,E14) + calcCodes(4,"REVREF",E15,E16) + calcCodes(5,"REVLPR",E17,E18)</f>
        <v>0</v>
      </c>
      <c r="R17" s="61"/>
      <c r="S17" s="63"/>
      <c r="T17" s="63"/>
    </row>
    <row r="18" spans="1:20" ht="13.5" thickTop="1" x14ac:dyDescent="0.2">
      <c r="A18" s="63"/>
      <c r="B18" s="85"/>
      <c r="C18" s="85"/>
      <c r="D18" s="103" t="s">
        <v>59</v>
      </c>
      <c r="E18" s="106">
        <v>800</v>
      </c>
      <c r="G18" s="55"/>
      <c r="H18" s="56"/>
      <c r="J18" s="55" t="s">
        <v>131</v>
      </c>
      <c r="K18" s="73">
        <f>calcCodes(3,"HOLSCAN",E13,E14) + calcCodes(4,"HOLSCAN",E15,E16) + calcCodes(5,"HOLSCAN",E17,E18)</f>
        <v>0</v>
      </c>
      <c r="M18" s="55"/>
      <c r="N18" s="73">
        <f>calcCodes(4,"HSHPAY",E15,E16)+calcCodes(5,"HSHPAY",E17,E18)</f>
        <v>0</v>
      </c>
      <c r="P18" s="65"/>
      <c r="Q18" s="66"/>
      <c r="R18" s="61"/>
      <c r="S18" s="63"/>
      <c r="T18" s="63"/>
    </row>
    <row r="19" spans="1:20" ht="13.5" thickBot="1" x14ac:dyDescent="0.25">
      <c r="A19" s="63"/>
      <c r="B19" s="85"/>
      <c r="C19" s="85"/>
      <c r="D19" s="104"/>
      <c r="E19" s="105"/>
      <c r="G19" s="59"/>
      <c r="H19" s="60"/>
      <c r="J19" s="82"/>
      <c r="K19" s="60"/>
      <c r="M19" s="59"/>
      <c r="N19" s="89">
        <f>calcCodes(3,"HSHUPG",E13,E14)+calcCodes(4,"HSHUPG",E15,E16)+calcCodes(5,"HSHUPG",E17,E18)</f>
        <v>0</v>
      </c>
      <c r="P19" s="67"/>
      <c r="Q19" s="68"/>
      <c r="R19" s="61"/>
      <c r="S19" s="63"/>
      <c r="T19" s="63"/>
    </row>
    <row r="20" spans="1:20" ht="13.5" thickTop="1" x14ac:dyDescent="0.2">
      <c r="A20" s="63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3"/>
      <c r="T20" s="63"/>
    </row>
    <row r="21" spans="1:20" ht="267.75" customHeight="1" x14ac:dyDescent="0.2">
      <c r="A21" s="63"/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</row>
    <row r="22" spans="1:20" ht="267.75" customHeight="1" x14ac:dyDescent="0.2">
      <c r="A22" s="63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</row>
    <row r="23" spans="1:20" ht="267.75" customHeight="1" x14ac:dyDescent="0.2">
      <c r="A23" s="63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</row>
    <row r="24" spans="1:20" ht="267.75" customHeight="1" x14ac:dyDescent="0.2">
      <c r="A24" s="63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</row>
    <row r="25" spans="1:20" ht="267.75" customHeight="1" x14ac:dyDescent="0.2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</row>
    <row r="26" spans="1:20" ht="267.75" customHeight="1" x14ac:dyDescent="0.2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</row>
    <row r="27" spans="1:20" ht="267.75" customHeight="1" x14ac:dyDescent="0.2"/>
    <row r="28" spans="1:20" ht="267.75" customHeight="1" x14ac:dyDescent="0.2"/>
    <row r="29" spans="1:20" ht="267.75" customHeight="1" x14ac:dyDescent="0.2"/>
    <row r="30" spans="1:20" ht="267.75" customHeight="1" x14ac:dyDescent="0.2"/>
    <row r="31" spans="1:20" ht="267.75" customHeight="1" x14ac:dyDescent="0.2"/>
    <row r="32" spans="1:20" ht="267.75" customHeight="1" x14ac:dyDescent="0.2"/>
    <row r="33" ht="267.75" customHeight="1" x14ac:dyDescent="0.2"/>
    <row r="34" ht="267.75" customHeight="1" x14ac:dyDescent="0.2"/>
    <row r="35" ht="267.75" customHeight="1" x14ac:dyDescent="0.2"/>
  </sheetData>
  <mergeCells count="11">
    <mergeCell ref="J16:K16"/>
    <mergeCell ref="D12:E12"/>
    <mergeCell ref="D5:E5"/>
    <mergeCell ref="G5:H5"/>
    <mergeCell ref="J5:K5"/>
    <mergeCell ref="M5:N5"/>
    <mergeCell ref="P5:Q5"/>
    <mergeCell ref="G11:H11"/>
    <mergeCell ref="J11:K11"/>
    <mergeCell ref="M11:N11"/>
    <mergeCell ref="P11:Q1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AA66F-01D3-4709-840A-B48E8B162EDA}">
  <sheetPr codeName="shzbudget0">
    <tabColor theme="4" tint="-0.499984740745262"/>
  </sheetPr>
  <dimension ref="A1:AB92"/>
  <sheetViews>
    <sheetView showGridLines="0" zoomScaleNormal="100" workbookViewId="0">
      <selection activeCell="D28" sqref="D28"/>
    </sheetView>
  </sheetViews>
  <sheetFormatPr defaultColWidth="8.42578125" defaultRowHeight="20.25" x14ac:dyDescent="0.3"/>
  <cols>
    <col min="1" max="1" width="1.140625" customWidth="1"/>
    <col min="2" max="2" width="2.28515625" customWidth="1"/>
    <col min="3" max="3" width="25.7109375" customWidth="1"/>
    <col min="4" max="4" width="12.7109375" style="1" customWidth="1"/>
    <col min="5" max="5" width="1.28515625" style="2" customWidth="1"/>
    <col min="6" max="6" width="1.28515625" customWidth="1"/>
    <col min="7" max="7" width="1.7109375" customWidth="1"/>
    <col min="8" max="8" width="22.42578125" customWidth="1"/>
    <col min="9" max="9" width="12.7109375" customWidth="1"/>
    <col min="10" max="10" width="1.140625" customWidth="1"/>
    <col min="11" max="11" width="1.42578125" customWidth="1"/>
    <col min="12" max="12" width="23.7109375" customWidth="1"/>
    <col min="13" max="13" width="12.42578125" customWidth="1"/>
  </cols>
  <sheetData>
    <row r="1" spans="1:28" ht="4.5" customHeight="1" x14ac:dyDescent="0.35">
      <c r="A1" s="3"/>
      <c r="B1" s="4"/>
      <c r="C1" s="77"/>
      <c r="D1" s="78" t="s">
        <v>104</v>
      </c>
      <c r="E1" s="5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 ht="4.5" customHeight="1" thickBot="1" x14ac:dyDescent="0.55000000000000004">
      <c r="A2" s="3"/>
      <c r="B2" s="152"/>
      <c r="C2" s="152"/>
      <c r="D2" s="152"/>
      <c r="E2" s="152"/>
      <c r="F2" s="152"/>
      <c r="G2" s="152"/>
      <c r="H2" s="152"/>
      <c r="I2" s="152"/>
      <c r="J2" s="6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28" ht="15.75" customHeight="1" thickTop="1" thickBot="1" x14ac:dyDescent="0.3">
      <c r="A3" s="3"/>
      <c r="B3" s="153" t="str">
        <f>"Expenses " &amp; D1</f>
        <v>Expenses 2024</v>
      </c>
      <c r="C3" s="154"/>
      <c r="D3" s="154"/>
      <c r="E3" s="155"/>
      <c r="F3" s="43"/>
      <c r="G3" s="156" t="str">
        <f>"Revenue " &amp; D1</f>
        <v>Revenue 2024</v>
      </c>
      <c r="H3" s="157"/>
      <c r="I3" s="157"/>
      <c r="J3" s="158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</row>
    <row r="4" spans="1:28" ht="16.5" customHeight="1" thickTop="1" x14ac:dyDescent="0.3">
      <c r="A4" s="3"/>
      <c r="B4" s="49" t="s">
        <v>6</v>
      </c>
      <c r="C4" s="87"/>
      <c r="D4" s="31"/>
      <c r="E4" s="30"/>
      <c r="F4" s="3"/>
      <c r="G4" s="28"/>
      <c r="H4" s="41" t="str">
        <f>TSy!P12</f>
        <v>Income-A</v>
      </c>
      <c r="I4" s="44">
        <f>TSy!Q12</f>
        <v>0</v>
      </c>
      <c r="J4" s="11"/>
      <c r="K4" s="3"/>
      <c r="Y4" s="3"/>
      <c r="Z4" s="3"/>
      <c r="AA4" s="3"/>
      <c r="AB4" s="3"/>
    </row>
    <row r="5" spans="1:28" ht="13.5" customHeight="1" x14ac:dyDescent="0.3">
      <c r="A5" s="3"/>
      <c r="B5" s="9"/>
      <c r="C5" s="41" t="str">
        <f>"Donations : "</f>
        <v xml:space="preserve">Donations : </v>
      </c>
      <c r="D5" s="135">
        <f>TSy!N13</f>
        <v>0</v>
      </c>
      <c r="E5" s="8"/>
      <c r="F5" s="3"/>
      <c r="G5" s="28"/>
      <c r="H5" s="41" t="str">
        <f>TSy!P13</f>
        <v>Income-B</v>
      </c>
      <c r="I5" s="44">
        <f>TSy!Q13</f>
        <v>0</v>
      </c>
      <c r="J5" s="11"/>
      <c r="K5" s="3"/>
      <c r="Y5" s="3"/>
      <c r="Z5" s="3"/>
      <c r="AA5" s="3"/>
      <c r="AB5" s="3"/>
    </row>
    <row r="6" spans="1:28" ht="13.5" customHeight="1" x14ac:dyDescent="0.3">
      <c r="A6" s="3"/>
      <c r="B6" s="50" t="str">
        <f>TSy!D5</f>
        <v>Daily Living Expenses</v>
      </c>
      <c r="D6" s="136"/>
      <c r="E6" s="8"/>
      <c r="F6" s="3"/>
      <c r="G6" s="28"/>
      <c r="H6" s="41" t="str">
        <f>TSy!P14</f>
        <v>Income-C</v>
      </c>
      <c r="I6" s="44">
        <f>TSy!Q14</f>
        <v>0</v>
      </c>
      <c r="J6" s="8"/>
      <c r="K6" s="3"/>
      <c r="Y6" s="3"/>
      <c r="Z6" s="3"/>
      <c r="AA6" s="3"/>
      <c r="AB6" s="3"/>
    </row>
    <row r="7" spans="1:28" ht="13.5" customHeight="1" x14ac:dyDescent="0.2">
      <c r="A7" s="3"/>
      <c r="B7" s="9"/>
      <c r="C7" s="41" t="str">
        <f>TSy!D6</f>
        <v>Groceries</v>
      </c>
      <c r="D7" s="137">
        <f>TSy!E6</f>
        <v>0</v>
      </c>
      <c r="E7" s="8"/>
      <c r="F7" s="3"/>
      <c r="H7" s="41" t="str">
        <f>TSy!P15</f>
        <v>Other</v>
      </c>
      <c r="I7" s="44">
        <f>TSy!Q15</f>
        <v>0</v>
      </c>
      <c r="J7" s="8"/>
      <c r="K7" s="3"/>
      <c r="Y7" s="3"/>
      <c r="Z7" s="3"/>
      <c r="AA7" s="3"/>
      <c r="AB7" s="3"/>
    </row>
    <row r="8" spans="1:28" ht="13.5" customHeight="1" x14ac:dyDescent="0.2">
      <c r="A8" s="3"/>
      <c r="B8" s="9"/>
      <c r="C8" s="41" t="str">
        <f>TSy!D7</f>
        <v>Dining</v>
      </c>
      <c r="D8" s="137">
        <f>TSy!E7</f>
        <v>0</v>
      </c>
      <c r="E8" s="8"/>
      <c r="F8" s="3"/>
      <c r="H8" s="41" t="str">
        <f>TSy!P16</f>
        <v>Retirement TopUp</v>
      </c>
      <c r="I8" s="44">
        <f>TSy!Q16</f>
        <v>0</v>
      </c>
      <c r="J8" s="8"/>
      <c r="K8" s="3"/>
      <c r="Y8" s="3"/>
      <c r="Z8" s="3"/>
      <c r="AA8" s="3"/>
      <c r="AB8" s="3"/>
    </row>
    <row r="9" spans="1:28" ht="13.5" customHeight="1" x14ac:dyDescent="0.2">
      <c r="A9" s="3"/>
      <c r="B9" s="9"/>
      <c r="C9" s="41" t="str">
        <f>TSy!D8</f>
        <v>Alcohol</v>
      </c>
      <c r="D9" s="137">
        <f>TSy!E8</f>
        <v>0</v>
      </c>
      <c r="E9" s="8"/>
      <c r="F9" s="3"/>
      <c r="H9" s="41" t="str">
        <f>TSy!P17</f>
        <v>Refunds-Loan Repay</v>
      </c>
      <c r="I9" s="44">
        <f>TSy!Q17</f>
        <v>0</v>
      </c>
      <c r="J9" s="8"/>
      <c r="K9" s="3"/>
      <c r="Y9" s="3"/>
      <c r="Z9" s="3"/>
      <c r="AA9" s="3"/>
      <c r="AB9" s="3"/>
    </row>
    <row r="10" spans="1:28" ht="13.5" customHeight="1" x14ac:dyDescent="0.2">
      <c r="A10" s="3"/>
      <c r="B10" s="9"/>
      <c r="C10" s="41" t="str">
        <f>TSy!D9</f>
        <v>Entertain</v>
      </c>
      <c r="D10" s="137">
        <f>TSy!E9</f>
        <v>0</v>
      </c>
      <c r="E10" s="8"/>
      <c r="F10" s="3"/>
      <c r="K10" s="3"/>
      <c r="Y10" s="3"/>
      <c r="Z10" s="3"/>
      <c r="AA10" s="3"/>
      <c r="AB10" s="3"/>
    </row>
    <row r="11" spans="1:28" ht="13.5" customHeight="1" thickBot="1" x14ac:dyDescent="0.25">
      <c r="A11" s="3"/>
      <c r="B11" s="9"/>
      <c r="C11" s="41" t="str">
        <f>TSy!D10</f>
        <v>Hair-Nails</v>
      </c>
      <c r="D11" s="137">
        <f>TSy!E10</f>
        <v>0</v>
      </c>
      <c r="E11" s="8"/>
      <c r="F11" s="3"/>
      <c r="H11" s="7"/>
      <c r="I11" s="7"/>
      <c r="K11" s="3"/>
      <c r="Y11" s="3"/>
      <c r="Z11" s="3"/>
      <c r="AA11" s="3"/>
      <c r="AB11" s="3"/>
    </row>
    <row r="12" spans="1:28" ht="13.5" customHeight="1" thickTop="1" x14ac:dyDescent="0.2">
      <c r="A12" s="3"/>
      <c r="B12" s="9"/>
      <c r="C12" s="41" t="str">
        <f>TSy!D11</f>
        <v>Unknown</v>
      </c>
      <c r="D12" s="137">
        <f>TSy!E11</f>
        <v>0</v>
      </c>
      <c r="E12" s="8"/>
      <c r="F12" s="3"/>
      <c r="I12" s="138">
        <f>SUM(I4:I11)</f>
        <v>0</v>
      </c>
      <c r="K12" s="3"/>
      <c r="Y12" s="3"/>
      <c r="Z12" s="3"/>
      <c r="AA12" s="3"/>
      <c r="AB12" s="3"/>
    </row>
    <row r="13" spans="1:28" ht="13.5" customHeight="1" x14ac:dyDescent="0.2">
      <c r="A13" s="3"/>
      <c r="B13" s="51" t="str">
        <f>TSy!J5</f>
        <v>Transport</v>
      </c>
      <c r="C13" s="41"/>
      <c r="D13" s="135"/>
      <c r="E13" s="8"/>
      <c r="F13" s="3"/>
      <c r="K13" s="3"/>
      <c r="Y13" s="3"/>
      <c r="Z13" s="3"/>
      <c r="AA13" s="3"/>
      <c r="AB13" s="3"/>
    </row>
    <row r="14" spans="1:28" ht="13.5" customHeight="1" x14ac:dyDescent="0.2">
      <c r="A14" s="3"/>
      <c r="B14" s="9"/>
      <c r="C14" s="41" t="str">
        <f>TSy!J6</f>
        <v>Petrol</v>
      </c>
      <c r="D14" s="137">
        <f>TSy!K6</f>
        <v>0</v>
      </c>
      <c r="E14" s="10"/>
      <c r="F14" s="3"/>
      <c r="K14" s="3"/>
      <c r="Y14" s="3"/>
      <c r="Z14" s="3"/>
      <c r="AA14" s="3"/>
      <c r="AB14" s="3"/>
    </row>
    <row r="15" spans="1:28" ht="13.5" customHeight="1" x14ac:dyDescent="0.2">
      <c r="A15" s="3"/>
      <c r="B15" s="9"/>
      <c r="C15" s="41" t="str">
        <f>TSy!J10</f>
        <v>Rego &amp; Fines</v>
      </c>
      <c r="D15" s="137">
        <f>TSy!K10</f>
        <v>0</v>
      </c>
      <c r="E15" s="8"/>
      <c r="F15" s="3"/>
      <c r="K15" s="3"/>
      <c r="Y15" s="3"/>
      <c r="Z15" s="3"/>
      <c r="AA15" s="3"/>
      <c r="AB15" s="3"/>
    </row>
    <row r="16" spans="1:28" ht="13.5" customHeight="1" x14ac:dyDescent="0.2">
      <c r="A16" s="3"/>
      <c r="B16" s="9"/>
      <c r="C16" s="41" t="str">
        <f>TSy!J7</f>
        <v>Service</v>
      </c>
      <c r="D16" s="137">
        <f>TSy!K7</f>
        <v>0</v>
      </c>
      <c r="E16" s="8"/>
      <c r="F16" s="3"/>
      <c r="K16" s="3"/>
      <c r="L16" s="13"/>
      <c r="M16" s="19"/>
      <c r="Y16" s="3"/>
      <c r="Z16" s="3"/>
      <c r="AA16" s="3"/>
      <c r="AB16" s="3"/>
    </row>
    <row r="17" spans="1:28" ht="13.5" customHeight="1" x14ac:dyDescent="0.2">
      <c r="A17" s="3"/>
      <c r="B17" s="9"/>
      <c r="C17" s="41" t="str">
        <f>TSy!J9</f>
        <v>Public Transp</v>
      </c>
      <c r="D17" s="137">
        <f>TSy!K9</f>
        <v>0</v>
      </c>
      <c r="E17" s="10"/>
      <c r="F17" s="3"/>
      <c r="K17" s="3"/>
      <c r="L17" s="13"/>
      <c r="M17" s="19"/>
      <c r="Y17" s="3"/>
      <c r="Z17" s="3"/>
      <c r="AA17" s="3"/>
      <c r="AB17" s="3"/>
    </row>
    <row r="18" spans="1:28" ht="13.5" customHeight="1" x14ac:dyDescent="0.25">
      <c r="A18" s="3"/>
      <c r="B18" s="9"/>
      <c r="C18" s="41" t="str">
        <f>TSy!J8</f>
        <v>Parking</v>
      </c>
      <c r="D18" s="137">
        <f>TSy!K8</f>
        <v>0</v>
      </c>
      <c r="E18" s="8"/>
      <c r="F18" s="3"/>
      <c r="J18" s="29"/>
      <c r="K18" s="3"/>
      <c r="L18" s="13"/>
      <c r="M18" s="19"/>
      <c r="Y18" s="3"/>
      <c r="Z18" s="3"/>
      <c r="AA18" s="3"/>
      <c r="AB18" s="3"/>
    </row>
    <row r="19" spans="1:28" ht="16.5" customHeight="1" x14ac:dyDescent="0.2">
      <c r="A19" s="3"/>
      <c r="B19" s="51" t="str">
        <f>TSy!G5</f>
        <v>Insurance</v>
      </c>
      <c r="C19" s="41"/>
      <c r="D19" s="135"/>
      <c r="E19" s="8"/>
      <c r="F19" s="3"/>
      <c r="K19" s="3"/>
      <c r="Y19" s="3"/>
      <c r="Z19" s="3"/>
      <c r="AA19" s="3"/>
      <c r="AB19" s="3"/>
    </row>
    <row r="20" spans="1:28" ht="13.5" customHeight="1" x14ac:dyDescent="0.2">
      <c r="A20" s="3"/>
      <c r="B20" s="9"/>
      <c r="C20" s="41" t="str">
        <f>TSy!G6</f>
        <v>Contents (NRMA)</v>
      </c>
      <c r="D20" s="137">
        <f>TSy!H6</f>
        <v>0</v>
      </c>
      <c r="E20" s="8"/>
      <c r="F20" s="3"/>
      <c r="K20" s="3"/>
      <c r="Y20" s="3"/>
      <c r="Z20" s="3"/>
      <c r="AA20" s="3"/>
      <c r="AB20" s="3"/>
    </row>
    <row r="21" spans="1:28" ht="13.5" customHeight="1" x14ac:dyDescent="0.25">
      <c r="A21" s="3"/>
      <c r="B21" s="9"/>
      <c r="C21" s="41" t="str">
        <f>TSy!G7</f>
        <v>Auto (NRMA)</v>
      </c>
      <c r="D21" s="137">
        <f>TSy!H7</f>
        <v>0</v>
      </c>
      <c r="E21" s="8"/>
      <c r="F21" s="3"/>
      <c r="G21" s="20"/>
      <c r="H21" s="47"/>
      <c r="I21" s="48"/>
      <c r="J21" s="29"/>
      <c r="K21" s="3"/>
      <c r="Y21" s="3"/>
      <c r="Z21" s="3"/>
      <c r="AA21" s="3"/>
      <c r="AB21" s="3"/>
    </row>
    <row r="22" spans="1:28" ht="13.5" customHeight="1" x14ac:dyDescent="0.25">
      <c r="A22" s="3"/>
      <c r="B22" s="9"/>
      <c r="C22" s="41" t="str">
        <f>TSy!G8</f>
        <v>RACQ</v>
      </c>
      <c r="D22" s="137">
        <f>TSy!H8</f>
        <v>0</v>
      </c>
      <c r="E22" s="8"/>
      <c r="F22" s="3"/>
      <c r="G22" s="20"/>
      <c r="H22" s="47"/>
      <c r="I22" s="48"/>
      <c r="J22" s="29"/>
      <c r="K22" s="3"/>
      <c r="Y22" s="3"/>
      <c r="Z22" s="3"/>
      <c r="AA22" s="3"/>
      <c r="AB22" s="3"/>
    </row>
    <row r="23" spans="1:28" ht="13.5" customHeight="1" x14ac:dyDescent="0.25">
      <c r="A23" s="3"/>
      <c r="B23" s="51" t="str">
        <f>TSy!G11</f>
        <v>Medical</v>
      </c>
      <c r="C23" s="41"/>
      <c r="D23" s="135"/>
      <c r="E23" s="8"/>
      <c r="F23" s="3"/>
      <c r="H23" s="41"/>
      <c r="I23" s="76"/>
      <c r="J23" s="29"/>
      <c r="K23" s="3"/>
      <c r="Y23" s="3"/>
      <c r="Z23" s="3"/>
      <c r="AA23" s="3"/>
      <c r="AB23" s="3"/>
    </row>
    <row r="24" spans="1:28" ht="13.5" customHeight="1" x14ac:dyDescent="0.25">
      <c r="A24" s="3"/>
      <c r="B24" s="9"/>
      <c r="C24" s="41" t="str">
        <f>TSy!G12</f>
        <v>Meds - Surgery</v>
      </c>
      <c r="D24" s="137">
        <f>TSy!H12</f>
        <v>0</v>
      </c>
      <c r="E24" s="8"/>
      <c r="F24" s="3"/>
      <c r="H24" s="41"/>
      <c r="I24" s="76"/>
      <c r="J24" s="29"/>
      <c r="K24" s="3"/>
      <c r="Y24" s="3"/>
      <c r="Z24" s="3"/>
      <c r="AA24" s="3"/>
      <c r="AB24" s="3"/>
    </row>
    <row r="25" spans="1:28" ht="13.5" customHeight="1" thickBot="1" x14ac:dyDescent="0.3">
      <c r="A25" s="3"/>
      <c r="B25" s="9"/>
      <c r="C25" s="41" t="str">
        <f>TSy!G13</f>
        <v>Alt Medicine</v>
      </c>
      <c r="D25" s="137">
        <f>TSy!H13</f>
        <v>0</v>
      </c>
      <c r="E25" s="8"/>
      <c r="F25" s="3"/>
      <c r="H25" s="41"/>
      <c r="I25" s="76"/>
      <c r="J25" s="29"/>
      <c r="K25" s="3"/>
      <c r="Y25" s="3"/>
      <c r="Z25" s="3"/>
      <c r="AA25" s="3"/>
      <c r="AB25" s="3"/>
    </row>
    <row r="26" spans="1:28" ht="13.5" customHeight="1" thickTop="1" x14ac:dyDescent="0.2">
      <c r="A26" s="3"/>
      <c r="B26" s="51" t="str">
        <f>TSy!M5</f>
        <v>Utilities - Rates</v>
      </c>
      <c r="C26" s="41"/>
      <c r="D26" s="135"/>
      <c r="E26" s="8"/>
      <c r="F26" s="3"/>
      <c r="G26" s="159" t="str">
        <f>"Expenses Summary"</f>
        <v>Expenses Summary</v>
      </c>
      <c r="H26" s="159"/>
      <c r="I26" s="159"/>
      <c r="J26" s="160"/>
      <c r="K26" s="3"/>
      <c r="Y26" s="3"/>
      <c r="Z26" s="3"/>
      <c r="AA26" s="3"/>
      <c r="AB26" s="3"/>
    </row>
    <row r="27" spans="1:28" ht="13.5" customHeight="1" x14ac:dyDescent="0.25">
      <c r="A27" s="3"/>
      <c r="B27" s="9"/>
      <c r="C27" s="41" t="str">
        <f>TSy!M6</f>
        <v>Phone-Internet</v>
      </c>
      <c r="D27" s="137">
        <f>TSy!N6</f>
        <v>0</v>
      </c>
      <c r="E27" s="8"/>
      <c r="F27" s="3"/>
      <c r="H27" s="13" t="str">
        <f>$B$6</f>
        <v>Daily Living Expenses</v>
      </c>
      <c r="I27" s="75">
        <f>SUM($D$7:$D$12)</f>
        <v>0</v>
      </c>
      <c r="J27" s="29"/>
      <c r="K27" s="3"/>
      <c r="Y27" s="3"/>
      <c r="Z27" s="3"/>
      <c r="AA27" s="3"/>
      <c r="AB27" s="3"/>
    </row>
    <row r="28" spans="1:28" ht="13.5" customHeight="1" x14ac:dyDescent="0.25">
      <c r="A28" s="3"/>
      <c r="B28" s="9"/>
      <c r="C28" s="41" t="str">
        <f>TSy!M7</f>
        <v>IT</v>
      </c>
      <c r="D28" s="137">
        <f>TSy!N7</f>
        <v>0</v>
      </c>
      <c r="E28" s="8"/>
      <c r="F28" s="3"/>
      <c r="H28" s="13" t="str">
        <f>$B$19</f>
        <v>Insurance</v>
      </c>
      <c r="I28" s="75">
        <f>SUM($D$20:$D$21)</f>
        <v>0</v>
      </c>
      <c r="J28" s="29"/>
      <c r="K28" s="3"/>
      <c r="Y28" s="3"/>
      <c r="Z28" s="3"/>
      <c r="AA28" s="3"/>
      <c r="AB28" s="3"/>
    </row>
    <row r="29" spans="1:28" ht="13.5" customHeight="1" x14ac:dyDescent="0.25">
      <c r="A29" s="3"/>
      <c r="B29" s="51"/>
      <c r="C29" s="41" t="str">
        <f>TSy!M8</f>
        <v>Electricity</v>
      </c>
      <c r="D29" s="137">
        <f>TSy!N8</f>
        <v>0</v>
      </c>
      <c r="E29" s="8"/>
      <c r="F29" s="3"/>
      <c r="H29" s="13" t="str">
        <f>$B$13</f>
        <v>Transport</v>
      </c>
      <c r="I29" s="75">
        <f>SUM($D$14:$D$18)</f>
        <v>0</v>
      </c>
      <c r="J29" s="29"/>
      <c r="K29" s="3"/>
      <c r="Y29" s="3"/>
      <c r="Z29" s="3"/>
      <c r="AA29" s="3"/>
      <c r="AB29" s="3"/>
    </row>
    <row r="30" spans="1:28" ht="13.5" customHeight="1" x14ac:dyDescent="0.25">
      <c r="A30" s="3"/>
      <c r="B30" s="9"/>
      <c r="C30" s="41" t="str">
        <f>TSy!M9</f>
        <v>Rates</v>
      </c>
      <c r="D30" s="137">
        <f>TSy!N9</f>
        <v>0</v>
      </c>
      <c r="E30" s="8"/>
      <c r="F30" s="3"/>
      <c r="H30" s="13" t="str">
        <f>$B$26</f>
        <v>Utilities - Rates</v>
      </c>
      <c r="I30" s="75">
        <f>SUM($D$27:$D$30)</f>
        <v>0</v>
      </c>
      <c r="J30" s="29"/>
      <c r="K30" s="3"/>
      <c r="Y30" s="3"/>
      <c r="Z30" s="3"/>
      <c r="AA30" s="3"/>
      <c r="AB30" s="3"/>
    </row>
    <row r="31" spans="1:28" ht="13.5" customHeight="1" x14ac:dyDescent="0.25">
      <c r="A31" s="3"/>
      <c r="B31" s="9"/>
      <c r="C31" s="41"/>
      <c r="D31" s="137"/>
      <c r="E31" s="8"/>
      <c r="F31" s="3"/>
      <c r="H31" s="13" t="str">
        <f>$B$23</f>
        <v>Medical</v>
      </c>
      <c r="I31" s="75">
        <f>SUM($D$24:$D$25)</f>
        <v>0</v>
      </c>
      <c r="J31" s="29"/>
      <c r="K31" s="3"/>
      <c r="Y31" s="3"/>
      <c r="Z31" s="3"/>
      <c r="AA31" s="3"/>
      <c r="AB31" s="3"/>
    </row>
    <row r="32" spans="1:28" ht="13.5" customHeight="1" x14ac:dyDescent="0.25">
      <c r="A32" s="3"/>
      <c r="B32" s="51" t="str">
        <f>TSy!M11</f>
        <v>Sundry</v>
      </c>
      <c r="C32" s="41"/>
      <c r="D32" s="135"/>
      <c r="E32" s="8"/>
      <c r="F32" s="3"/>
      <c r="H32" s="13" t="str">
        <f>$B$4</f>
        <v>Donations</v>
      </c>
      <c r="I32" s="75">
        <f>SUM($D$5:$D$6)</f>
        <v>0</v>
      </c>
      <c r="J32" s="29"/>
      <c r="K32" s="3"/>
      <c r="Y32" s="3"/>
      <c r="Z32" s="3"/>
      <c r="AA32" s="3"/>
      <c r="AB32" s="3"/>
    </row>
    <row r="33" spans="1:28" ht="13.5" customHeight="1" x14ac:dyDescent="0.25">
      <c r="A33" s="3"/>
      <c r="B33" s="9"/>
      <c r="C33" s="41" t="str">
        <f>TSy!M13</f>
        <v>Donations</v>
      </c>
      <c r="D33" s="137">
        <f>TSy!N13</f>
        <v>0</v>
      </c>
      <c r="E33" s="8"/>
      <c r="F33" s="3"/>
      <c r="H33" s="13" t="str">
        <f>$B$32 &amp; " (Holidays)"</f>
        <v>Sundry (Holidays)</v>
      </c>
      <c r="I33" s="75">
        <f>SUM($D$33:$D$38)</f>
        <v>0</v>
      </c>
      <c r="J33" s="29"/>
      <c r="K33" s="3"/>
      <c r="Y33" s="3"/>
      <c r="Z33" s="3"/>
      <c r="AA33" s="3"/>
      <c r="AB33" s="3"/>
    </row>
    <row r="34" spans="1:28" ht="13.5" customHeight="1" thickBot="1" x14ac:dyDescent="0.3">
      <c r="A34" s="3"/>
      <c r="B34" s="9"/>
      <c r="C34" s="41" t="str">
        <f>TSy!M14</f>
        <v>Rob's Hobbies</v>
      </c>
      <c r="D34" s="137">
        <f>TSy!N14</f>
        <v>0</v>
      </c>
      <c r="E34" s="8"/>
      <c r="F34" s="3"/>
      <c r="H34" s="133"/>
      <c r="I34" s="132"/>
      <c r="J34" s="29"/>
      <c r="K34" s="3"/>
      <c r="Y34" s="3"/>
      <c r="Z34" s="3"/>
      <c r="AA34" s="3"/>
      <c r="AB34" s="3"/>
    </row>
    <row r="35" spans="1:28" ht="13.5" customHeight="1" thickTop="1" x14ac:dyDescent="0.25">
      <c r="A35" s="3"/>
      <c r="B35" s="51"/>
      <c r="C35" s="41" t="str">
        <f>TSy!M15</f>
        <v>Julia's Hobbies</v>
      </c>
      <c r="D35" s="137">
        <f>TSy!N15</f>
        <v>0</v>
      </c>
      <c r="E35" s="8"/>
      <c r="F35" s="3"/>
      <c r="H35" s="41"/>
      <c r="I35" s="139">
        <f>SUM(I27:I34)</f>
        <v>0</v>
      </c>
      <c r="J35" s="29"/>
      <c r="K35" s="3"/>
      <c r="Y35" s="3"/>
      <c r="Z35" s="3"/>
      <c r="AA35" s="3"/>
      <c r="AB35" s="3"/>
    </row>
    <row r="36" spans="1:28" ht="13.5" customHeight="1" x14ac:dyDescent="0.25">
      <c r="A36" s="3"/>
      <c r="B36" s="51" t="s">
        <v>129</v>
      </c>
      <c r="C36" s="41"/>
      <c r="D36" s="137"/>
      <c r="E36" s="8"/>
      <c r="F36" s="3"/>
      <c r="H36" s="41"/>
      <c r="I36" s="76"/>
      <c r="J36" s="29"/>
      <c r="K36" s="3"/>
      <c r="Y36" s="3"/>
      <c r="Z36" s="3"/>
      <c r="AA36" s="3"/>
      <c r="AB36" s="3"/>
    </row>
    <row r="37" spans="1:28" ht="13.5" customHeight="1" x14ac:dyDescent="0.25">
      <c r="A37" s="3"/>
      <c r="B37" s="9"/>
      <c r="C37" s="41" t="str">
        <f>TSy!J17</f>
        <v>Oz</v>
      </c>
      <c r="D37" s="137">
        <f>TSy!K17</f>
        <v>0</v>
      </c>
      <c r="E37" s="8"/>
      <c r="F37" s="3"/>
      <c r="H37" s="41"/>
      <c r="I37" s="76"/>
      <c r="J37" s="29"/>
      <c r="K37" s="3"/>
      <c r="Y37" s="3"/>
      <c r="Z37" s="3"/>
      <c r="AA37" s="3"/>
      <c r="AB37" s="3"/>
    </row>
    <row r="38" spans="1:28" ht="13.5" customHeight="1" x14ac:dyDescent="0.25">
      <c r="A38" s="3"/>
      <c r="B38" s="9"/>
      <c r="C38" s="41" t="str">
        <f>TSy!J18</f>
        <v>Canada</v>
      </c>
      <c r="D38" s="137">
        <f>TSy!K18</f>
        <v>0</v>
      </c>
      <c r="E38" s="8"/>
      <c r="F38" s="3"/>
      <c r="H38" s="41"/>
      <c r="I38" s="76"/>
      <c r="J38" s="29"/>
      <c r="K38" s="3"/>
      <c r="Y38" s="3"/>
      <c r="Z38" s="3"/>
      <c r="AA38" s="3"/>
      <c r="AB38" s="3"/>
    </row>
    <row r="39" spans="1:28" ht="13.5" customHeight="1" x14ac:dyDescent="0.25">
      <c r="A39" s="3"/>
      <c r="B39" s="9"/>
      <c r="C39" s="41"/>
      <c r="D39" s="69"/>
      <c r="E39" s="8"/>
      <c r="F39" s="3"/>
      <c r="H39" s="41"/>
      <c r="I39" s="76"/>
      <c r="J39" s="29"/>
      <c r="K39" s="3"/>
      <c r="Y39" s="3"/>
      <c r="Z39" s="3"/>
      <c r="AA39" s="3"/>
      <c r="AB39" s="3"/>
    </row>
    <row r="40" spans="1:28" ht="13.5" customHeight="1" x14ac:dyDescent="0.25">
      <c r="A40" s="3"/>
      <c r="B40" s="9"/>
      <c r="C40" s="41"/>
      <c r="D40" s="69"/>
      <c r="E40" s="8"/>
      <c r="F40" s="3"/>
      <c r="H40" s="41"/>
      <c r="I40" s="76"/>
      <c r="J40" s="29"/>
      <c r="K40" s="3"/>
      <c r="Y40" s="3"/>
      <c r="Z40" s="3"/>
      <c r="AA40" s="3"/>
      <c r="AB40" s="3"/>
    </row>
    <row r="41" spans="1:28" ht="13.5" customHeight="1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</row>
    <row r="42" spans="1:28" ht="13.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</row>
    <row r="43" spans="1:28" ht="13.5" customHeight="1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ht="13.5" customHeight="1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ht="13.5" customHeight="1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ht="13.5" customHeight="1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ht="12.75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ht="12.75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1:28" ht="12.75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1:28" ht="12.75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1:28" ht="12.75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1:28" ht="12.75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1:28" ht="12.75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1:28" ht="12.75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1:28" ht="12.75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1:28" ht="12.75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1:28" ht="12.75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</row>
    <row r="58" spans="1:28" ht="12.75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</row>
    <row r="59" spans="1:28" ht="12.75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</row>
    <row r="60" spans="1:28" ht="12.75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</row>
    <row r="61" spans="1:28" ht="12.75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</row>
    <row r="62" spans="1:28" ht="12.75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</row>
    <row r="63" spans="1:28" ht="12.75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</row>
    <row r="64" spans="1:28" ht="12.75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</row>
    <row r="65" spans="1:28" ht="12.75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</row>
    <row r="66" spans="1:28" ht="12.75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</row>
    <row r="67" spans="1:28" ht="12.75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</row>
    <row r="68" spans="1:28" ht="12.75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</row>
    <row r="69" spans="1:28" ht="12.75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</row>
    <row r="70" spans="1:28" ht="12.75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</row>
    <row r="71" spans="1:28" ht="12.75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</row>
    <row r="72" spans="1:28" ht="12.75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</row>
    <row r="73" spans="1:28" ht="12.75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</row>
    <row r="74" spans="1:28" ht="12.75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</row>
    <row r="75" spans="1:28" ht="12.75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</row>
    <row r="76" spans="1:28" ht="12.75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</row>
    <row r="77" spans="1:28" ht="12.75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</row>
    <row r="78" spans="1:28" ht="12.75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</row>
    <row r="79" spans="1:28" ht="12.75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</row>
    <row r="80" spans="1:28" ht="12.75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</row>
    <row r="81" spans="1:28" ht="12.75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</row>
    <row r="82" spans="1:28" ht="12.75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</row>
    <row r="83" spans="1:28" ht="12.75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</row>
    <row r="84" spans="1:28" ht="12.75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</row>
    <row r="85" spans="1:28" ht="12.75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</row>
    <row r="86" spans="1:28" ht="12.75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</row>
    <row r="87" spans="1:28" ht="12.75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</row>
    <row r="88" spans="1:28" ht="12.75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</row>
    <row r="89" spans="1:28" ht="12.75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</row>
    <row r="90" spans="1:28" ht="12.75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</row>
    <row r="91" spans="1:28" ht="12.75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</row>
    <row r="92" spans="1:28" ht="12.75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</row>
  </sheetData>
  <sortState xmlns:xlrd2="http://schemas.microsoft.com/office/spreadsheetml/2017/richdata2" ref="H20:I32">
    <sortCondition descending="1" ref="I20:I32"/>
  </sortState>
  <mergeCells count="4">
    <mergeCell ref="B2:I2"/>
    <mergeCell ref="B3:E3"/>
    <mergeCell ref="G3:J3"/>
    <mergeCell ref="G26:J26"/>
  </mergeCells>
  <pageMargins left="0.74791666666666701" right="0.74791666666666701" top="0.98402777777777795" bottom="0.98402777777777795" header="0.51180555555555496" footer="0.51180555555555496"/>
  <pageSetup paperSize="9" firstPageNumber="0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24432-CDA2-4C6D-B879-AF0EE5CE066B}">
  <sheetPr codeName="shytsummary1">
    <tabColor rgb="FFFF0000"/>
  </sheetPr>
  <dimension ref="A1:T35"/>
  <sheetViews>
    <sheetView showGridLines="0" zoomScaleNormal="100" workbookViewId="0">
      <selection activeCell="E13" sqref="E13:E18"/>
    </sheetView>
  </sheetViews>
  <sheetFormatPr defaultColWidth="8.85546875" defaultRowHeight="12.75" x14ac:dyDescent="0.2"/>
  <cols>
    <col min="1" max="1" width="1.28515625" customWidth="1"/>
    <col min="2" max="2" width="2.42578125" customWidth="1"/>
    <col min="3" max="3" width="1.7109375" customWidth="1"/>
    <col min="4" max="4" width="17.7109375" customWidth="1"/>
    <col min="5" max="5" width="13.7109375" style="54" customWidth="1"/>
    <col min="6" max="6" width="1.7109375" customWidth="1"/>
    <col min="7" max="7" width="17.7109375" customWidth="1"/>
    <col min="8" max="8" width="13.7109375" customWidth="1"/>
    <col min="9" max="9" width="1.7109375" customWidth="1"/>
    <col min="10" max="10" width="17.7109375" customWidth="1"/>
    <col min="11" max="11" width="13.7109375" customWidth="1"/>
    <col min="12" max="12" width="1.7109375" customWidth="1"/>
    <col min="13" max="13" width="20.7109375" customWidth="1"/>
    <col min="14" max="14" width="13.7109375" customWidth="1"/>
    <col min="15" max="15" width="1.7109375" customWidth="1"/>
    <col min="16" max="16" width="20.7109375" customWidth="1"/>
    <col min="17" max="17" width="13.7109375" customWidth="1"/>
    <col min="18" max="18" width="1.7109375" customWidth="1"/>
    <col min="19" max="19" width="58.7109375" customWidth="1"/>
    <col min="20" max="20" width="49.7109375" customWidth="1"/>
  </cols>
  <sheetData>
    <row r="1" spans="1:20" ht="3.75" customHeight="1" x14ac:dyDescent="0.2">
      <c r="A1" s="63"/>
      <c r="B1" s="63"/>
      <c r="C1" s="63"/>
      <c r="D1" s="63"/>
      <c r="E1" s="64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</row>
    <row r="2" spans="1:20" ht="3.75" customHeight="1" x14ac:dyDescent="0.2">
      <c r="A2" s="63"/>
      <c r="B2" s="63"/>
      <c r="C2" s="63"/>
      <c r="D2" s="63"/>
      <c r="E2" s="64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</row>
    <row r="3" spans="1:20" x14ac:dyDescent="0.2">
      <c r="A3" s="63"/>
      <c r="B3" s="63"/>
      <c r="C3" s="63"/>
      <c r="D3" s="63"/>
      <c r="E3" s="64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</row>
    <row r="4" spans="1:20" ht="10.5" customHeight="1" thickBot="1" x14ac:dyDescent="0.25">
      <c r="A4" s="63"/>
      <c r="B4" s="61"/>
      <c r="C4" s="61"/>
      <c r="D4" s="61"/>
      <c r="E4" s="62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3"/>
      <c r="T4" s="63"/>
    </row>
    <row r="5" spans="1:20" ht="15.75" thickTop="1" x14ac:dyDescent="0.25">
      <c r="A5" s="63"/>
      <c r="B5" s="84"/>
      <c r="C5" s="85"/>
      <c r="D5" s="150" t="s">
        <v>14</v>
      </c>
      <c r="E5" s="151"/>
      <c r="G5" s="142" t="s">
        <v>0</v>
      </c>
      <c r="H5" s="143"/>
      <c r="J5" s="142" t="s">
        <v>4</v>
      </c>
      <c r="K5" s="143"/>
      <c r="M5" s="142" t="s">
        <v>52</v>
      </c>
      <c r="N5" s="143"/>
      <c r="P5" s="142" t="s">
        <v>34</v>
      </c>
      <c r="Q5" s="143"/>
      <c r="R5" s="61"/>
      <c r="S5" s="63"/>
      <c r="T5" s="63"/>
    </row>
    <row r="6" spans="1:20" x14ac:dyDescent="0.2">
      <c r="A6" s="63"/>
      <c r="B6" s="86"/>
      <c r="C6" s="85"/>
      <c r="D6" s="55" t="s">
        <v>7</v>
      </c>
      <c r="E6" s="73">
        <f>calcCodes(4,"DLXALI",E15,E16) + calcCodes(5,"DLXALI",E17,E18)</f>
        <v>0</v>
      </c>
      <c r="G6" s="55" t="str">
        <f>TSy!G6</f>
        <v>Contents (NRMA)</v>
      </c>
      <c r="H6" s="73">
        <f>calcCodes(3,"INSUHOM",E13,E14) + calcCodes(4,"INSUHOM",E15,E16)</f>
        <v>0</v>
      </c>
      <c r="J6" s="55" t="str">
        <f>TSy!J6</f>
        <v>Petrol</v>
      </c>
      <c r="K6" s="73">
        <f>calcCodes(4,"OTHTRF",E15,E16) + calcCodes(5,"OTHTRF",E17,E18)</f>
        <v>0</v>
      </c>
      <c r="M6" s="55" t="s">
        <v>45</v>
      </c>
      <c r="N6" s="73">
        <f>calcCodes(3,"HSHPHO",E13,E14) + calcCodes(4,"HSHPHO",E15,E16) + calcCodes(5,"HSHPHO",E17,E18)</f>
        <v>0</v>
      </c>
      <c r="P6" s="55" t="s">
        <v>132</v>
      </c>
      <c r="Q6" s="73">
        <f>calcCodes(3,"BKFEECH",E13,E14) + calcCodes(4,"BKFEECH",E15,E16) + calcCodes(5,"BKFEECH",E17,E18)</f>
        <v>0</v>
      </c>
      <c r="R6" s="61"/>
      <c r="S6" s="63"/>
      <c r="T6" s="63"/>
    </row>
    <row r="7" spans="1:20" x14ac:dyDescent="0.2">
      <c r="A7" s="63"/>
      <c r="B7" s="86"/>
      <c r="C7" s="85"/>
      <c r="D7" s="57" t="s">
        <v>11</v>
      </c>
      <c r="E7" s="74">
        <f>calcCodes(4,"DLXDIN",E15,E16) + calcCodes(5,"DLXDIN",E17,E18)</f>
        <v>0</v>
      </c>
      <c r="G7" s="57" t="str">
        <f>TSy!G7</f>
        <v>Auto (NRMA)</v>
      </c>
      <c r="H7" s="74">
        <f>calcCodes(3,"INSUMOT",E13,E14) + calcCodes(4,"INSUMOT",E15,E16)</f>
        <v>0</v>
      </c>
      <c r="J7" s="57" t="str">
        <f>TSy!J7</f>
        <v>Service</v>
      </c>
      <c r="K7" s="74">
        <f>calcCodes(3,"OTHTRM",E13,E14) + calcCodes(4,"OTHTRM",E15,E16) + calcCodes(5,"OTHTRM",E17,E18)</f>
        <v>0</v>
      </c>
      <c r="M7" s="57" t="s">
        <v>17</v>
      </c>
      <c r="N7" s="74">
        <f>calcCodes(3,"HSHITX",E13,E14) + calcCodes(4,"HSHITX",E15,E16) + calcCodes(5,"HSHITX",E17,E18)</f>
        <v>0</v>
      </c>
      <c r="P7" s="57"/>
      <c r="Q7" s="74"/>
      <c r="R7" s="61"/>
      <c r="S7" s="63"/>
      <c r="T7" s="63"/>
    </row>
    <row r="8" spans="1:20" x14ac:dyDescent="0.2">
      <c r="A8" s="63"/>
      <c r="B8" s="85"/>
      <c r="C8" s="85"/>
      <c r="D8" s="55" t="s">
        <v>13</v>
      </c>
      <c r="E8" s="73">
        <f>calcCodes(4,"DLXALC",E15,E16) + calcCodes(5,"DLXALC",E17,E18)</f>
        <v>0</v>
      </c>
      <c r="G8" s="55" t="str">
        <f>TSy!G8</f>
        <v>RACQ</v>
      </c>
      <c r="H8" s="73">
        <f>calcCodes(3,"INSUHLO",E13,E14) + calcCodes(4,"INSUHLO",E15,E16)</f>
        <v>0</v>
      </c>
      <c r="J8" s="55" t="str">
        <f>TSy!J8</f>
        <v>Parking</v>
      </c>
      <c r="K8" s="73">
        <f>calcCodes(4,"OTHTRP",E15,E16) + calcCodes(5,"OTHTRP",E17,E18)</f>
        <v>0</v>
      </c>
      <c r="M8" s="55" t="s">
        <v>50</v>
      </c>
      <c r="N8" s="73">
        <f>calcCodes(3,"HSHUTI",E13,E14) + calcCodes(4,"HSHUTI",E15,E16) + calcCodes(5,"HSHUTI",E17,E18)</f>
        <v>0</v>
      </c>
      <c r="P8" s="55"/>
      <c r="Q8" s="83"/>
      <c r="R8" s="61"/>
      <c r="S8" s="63"/>
      <c r="T8" s="63"/>
    </row>
    <row r="9" spans="1:20" x14ac:dyDescent="0.2">
      <c r="A9" s="63"/>
      <c r="B9" s="85"/>
      <c r="C9" s="85"/>
      <c r="D9" s="57" t="s">
        <v>16</v>
      </c>
      <c r="E9" s="74">
        <f>calcCodes(4,"DLXENT",E15,E16)</f>
        <v>0</v>
      </c>
      <c r="G9" s="57"/>
      <c r="H9" s="58"/>
      <c r="J9" s="57" t="str">
        <f>TSy!J9</f>
        <v>Public Transp</v>
      </c>
      <c r="K9" s="74">
        <f>calcCodes(3,"OTHTRT",E13,E14) + calcCodes(4,"OTHTRT",E15,E16) + calcCodes(5,"OTHTRT",E17,E18)</f>
        <v>0</v>
      </c>
      <c r="M9" s="57" t="s">
        <v>51</v>
      </c>
      <c r="N9" s="74">
        <f>calcCodes(3,"HSHLGL",E13,E14) + calcCodes(4,"HSHLGL",E15,E16) + calcCodes(5,"HSHLGL",E17,E18)</f>
        <v>0</v>
      </c>
      <c r="P9" s="57"/>
      <c r="Q9" s="74"/>
      <c r="R9" s="61"/>
      <c r="S9" s="63"/>
      <c r="T9" s="63"/>
    </row>
    <row r="10" spans="1:20" ht="13.5" thickBot="1" x14ac:dyDescent="0.25">
      <c r="A10" s="63"/>
      <c r="B10" s="85"/>
      <c r="C10" s="85"/>
      <c r="D10" s="55" t="s">
        <v>9</v>
      </c>
      <c r="E10" s="73">
        <f>calcCodes(4,"DLXHAI",E15,E16)</f>
        <v>0</v>
      </c>
      <c r="G10" s="55"/>
      <c r="H10" s="88">
        <f>SUM(H6:H9)</f>
        <v>0</v>
      </c>
      <c r="J10" s="55" t="str">
        <f>TSy!J10</f>
        <v>Rego &amp; Fines</v>
      </c>
      <c r="K10" s="73">
        <f>calcCodes(3,"OTHTRR",E13,E14) + calcCodes(4,"OTHTRR",E15,E16) + calcCodes(5,"OTHTRR",E17,E18)</f>
        <v>0</v>
      </c>
      <c r="M10" s="80"/>
      <c r="N10" s="81"/>
      <c r="P10" s="80"/>
      <c r="Q10" s="81"/>
      <c r="R10" s="61"/>
      <c r="S10" s="63"/>
      <c r="T10" s="63"/>
    </row>
    <row r="11" spans="1:20" ht="13.5" thickTop="1" x14ac:dyDescent="0.2">
      <c r="A11" s="63"/>
      <c r="B11" s="85"/>
      <c r="C11" s="85"/>
      <c r="D11" s="57" t="s">
        <v>18</v>
      </c>
      <c r="E11" s="74">
        <f>calcCodes(4,"HSHUNK",E15,E16)</f>
        <v>0</v>
      </c>
      <c r="G11" s="144" t="s">
        <v>5</v>
      </c>
      <c r="H11" s="145"/>
      <c r="J11" s="142" t="s">
        <v>127</v>
      </c>
      <c r="K11" s="143"/>
      <c r="M11" s="144" t="s">
        <v>35</v>
      </c>
      <c r="N11" s="145"/>
      <c r="P11" s="146" t="s">
        <v>42</v>
      </c>
      <c r="Q11" s="147"/>
      <c r="R11" s="61"/>
      <c r="S11" s="63"/>
      <c r="T11" s="63"/>
    </row>
    <row r="12" spans="1:20" x14ac:dyDescent="0.2">
      <c r="A12" s="63"/>
      <c r="B12" s="85"/>
      <c r="C12" s="85"/>
      <c r="D12" s="148" t="s">
        <v>64</v>
      </c>
      <c r="E12" s="149"/>
      <c r="G12" s="55" t="s">
        <v>38</v>
      </c>
      <c r="H12" s="73">
        <f>calcCodes(3,"HSHMED",E13,E14) +calcCodes(4,"HSHMED",E15,E16) +calcCodes(5,"HSHMED",E17,E18)</f>
        <v>0</v>
      </c>
      <c r="J12" s="55" t="s">
        <v>44</v>
      </c>
      <c r="K12" s="73">
        <f>calcCodes(3,"HSHMAI",E13,E14) + calcCodes(4,"HSHMAI",E15,E16) + calcCodes(5,"HSHMAI",E17,E18)</f>
        <v>0</v>
      </c>
      <c r="M12" s="55" t="s">
        <v>65</v>
      </c>
      <c r="N12" s="73">
        <f>calcCodes(3,"OTHGFF",E13,E14) + calcCodes(4,"OTHGFF",E15,E16) + calcCodes(5,"OTHGFT",E17,E18)</f>
        <v>0</v>
      </c>
      <c r="P12" s="65" t="str">
        <f>TSy!P12</f>
        <v>Income-A</v>
      </c>
      <c r="Q12" s="66">
        <f>calcCodes(5,"REVUSSS",E17,E18)</f>
        <v>0</v>
      </c>
      <c r="R12" s="61"/>
      <c r="S12" s="63"/>
      <c r="T12" s="63"/>
    </row>
    <row r="13" spans="1:20" x14ac:dyDescent="0.2">
      <c r="A13" s="63"/>
      <c r="B13" s="85"/>
      <c r="C13" s="85"/>
      <c r="D13" s="103" t="s">
        <v>62</v>
      </c>
      <c r="E13" s="106">
        <v>2</v>
      </c>
      <c r="G13" s="57" t="s">
        <v>39</v>
      </c>
      <c r="H13" s="74">
        <f>calcCodes(3,"HSHMDA",E13,E14) + calcCodes(4,"HSHMDA",E15,E16) + calcCodes(5,"HSHMDA",E17,E18)</f>
        <v>0</v>
      </c>
      <c r="J13" s="57" t="s">
        <v>128</v>
      </c>
      <c r="K13" s="74">
        <f>calcCodes(3,"HSHOTH",E13,E14) + calcCodes(4,"HSHOTH",E15,E16) + calcCodes(5,"HSHOTH",E17,E18)</f>
        <v>0</v>
      </c>
      <c r="M13" s="57" t="s">
        <v>6</v>
      </c>
      <c r="N13" s="74">
        <f>calcCodes(3,"OTHDON",E13,E14) + calcCodes(4,"OTHDON",E15,E16) + calcCodes(5,"OTHDON",E17,E18)</f>
        <v>0</v>
      </c>
      <c r="P13" s="67" t="str">
        <f>TSy!P13</f>
        <v>Income-B</v>
      </c>
      <c r="Q13" s="68">
        <f>calcCodes(5,"REVUSSJ",E17,E18)</f>
        <v>0</v>
      </c>
      <c r="R13" s="61"/>
      <c r="S13" s="63"/>
      <c r="T13" s="63"/>
    </row>
    <row r="14" spans="1:20" ht="13.5" thickBot="1" x14ac:dyDescent="0.25">
      <c r="A14" s="63"/>
      <c r="B14" s="85"/>
      <c r="C14" s="85"/>
      <c r="D14" s="103" t="s">
        <v>63</v>
      </c>
      <c r="E14" s="106">
        <v>59</v>
      </c>
      <c r="G14" s="55"/>
      <c r="H14" s="73"/>
      <c r="J14" s="55" t="s">
        <v>43</v>
      </c>
      <c r="K14" s="73">
        <f>calcCodes(3,"HSHFUR",E13,E14) + calcCodes(4,"HSHFUR",E15,E16) + calcCodes(5,"HSHFUR",E17,E18)</f>
        <v>0</v>
      </c>
      <c r="M14" s="55" t="s">
        <v>48</v>
      </c>
      <c r="N14" s="73">
        <f>calcCodes(3,"OTHHOR",E13,E14) + calcCodes(4,"OTHHOR",E15,E16) + calcCodes(5,"OTHHOR",E17,E18)</f>
        <v>0</v>
      </c>
      <c r="P14" s="107" t="str">
        <f>TSy!P14</f>
        <v>Income-C</v>
      </c>
      <c r="Q14" s="108">
        <f>calcCodes(3,"REVAUPN",E13,E14)</f>
        <v>0</v>
      </c>
      <c r="R14" s="61"/>
      <c r="S14" s="63"/>
      <c r="T14" s="63"/>
    </row>
    <row r="15" spans="1:20" ht="14.25" thickTop="1" thickBot="1" x14ac:dyDescent="0.25">
      <c r="A15" s="63"/>
      <c r="B15" s="85"/>
      <c r="C15" s="85"/>
      <c r="D15" s="103" t="s">
        <v>60</v>
      </c>
      <c r="E15" s="106">
        <v>2</v>
      </c>
      <c r="G15" s="57"/>
      <c r="H15" s="74"/>
      <c r="J15" s="59" t="s">
        <v>44</v>
      </c>
      <c r="K15" s="89">
        <f>calcCodes(3,"HSHMAI",E13,E14) + calcCodes(4,"HSHMAI",E15,E16) + calcCodes(5,"HSHMAI",E17,E18)</f>
        <v>0</v>
      </c>
      <c r="M15" s="57" t="s">
        <v>49</v>
      </c>
      <c r="N15" s="74">
        <f>calcCodes(3,"OTHHOJ",E13,E14) + calcCodes(4,"OTHHOJ",E15,E16) + calcCodes(5,"OTHHOJ",E17,E18)</f>
        <v>0</v>
      </c>
      <c r="P15" s="67" t="str">
        <f>TSy!P15</f>
        <v>Other</v>
      </c>
      <c r="Q15" s="68">
        <f>calcCodes(5,"BKTFINGP",E17,E18)</f>
        <v>0</v>
      </c>
      <c r="R15" s="61"/>
      <c r="S15" s="63"/>
      <c r="T15" s="63"/>
    </row>
    <row r="16" spans="1:20" ht="13.5" thickTop="1" x14ac:dyDescent="0.2">
      <c r="A16" s="63"/>
      <c r="B16" s="85"/>
      <c r="C16" s="85"/>
      <c r="D16" s="103" t="s">
        <v>61</v>
      </c>
      <c r="E16" s="106">
        <v>213</v>
      </c>
      <c r="G16" s="55"/>
      <c r="H16" s="73"/>
      <c r="J16" s="142" t="s">
        <v>129</v>
      </c>
      <c r="K16" s="143"/>
      <c r="M16" s="55"/>
      <c r="N16" s="73"/>
      <c r="P16" s="65" t="str">
        <f>TSy!P16</f>
        <v>Retirement TopUp</v>
      </c>
      <c r="Q16" s="66">
        <f>calcCodes(3,"REVAUSR",E13,E14) + calcCodes(4,"REVAUSR",E15,E16) + calcCodes(5,"REVAUSR",E17,E18)</f>
        <v>0</v>
      </c>
      <c r="R16" s="61"/>
      <c r="S16" s="63"/>
      <c r="T16" s="63"/>
    </row>
    <row r="17" spans="1:20" ht="13.5" thickBot="1" x14ac:dyDescent="0.25">
      <c r="A17" s="63"/>
      <c r="B17" s="85"/>
      <c r="C17" s="85"/>
      <c r="D17" s="103" t="s">
        <v>58</v>
      </c>
      <c r="E17" s="106">
        <v>2</v>
      </c>
      <c r="G17" s="57"/>
      <c r="H17" s="74"/>
      <c r="J17" s="57" t="s">
        <v>130</v>
      </c>
      <c r="K17" s="74">
        <f>calcCodes(3,"HOLSOZL",E13,E14) + calcCodes(4,"HOLSOZL",E15,E16) + calcCodes(5,"HOLSOZL",E17,E18)</f>
        <v>0</v>
      </c>
      <c r="M17" s="59"/>
      <c r="N17" s="89"/>
      <c r="P17" s="67" t="str">
        <f>TSy!P17</f>
        <v>Refunds-Loan Repay</v>
      </c>
      <c r="Q17" s="68">
        <f>calcCodes(3,"REVLPR",E13,E14) + calcCodes(4,"REVREF",E15,E16) + calcCodes(5,"REVLPR",E17,E18)</f>
        <v>0</v>
      </c>
      <c r="R17" s="61"/>
      <c r="S17" s="63"/>
      <c r="T17" s="63"/>
    </row>
    <row r="18" spans="1:20" ht="13.5" thickTop="1" x14ac:dyDescent="0.2">
      <c r="A18" s="63"/>
      <c r="B18" s="85"/>
      <c r="C18" s="85"/>
      <c r="D18" s="103" t="s">
        <v>59</v>
      </c>
      <c r="E18" s="106">
        <v>67</v>
      </c>
      <c r="G18" s="55"/>
      <c r="H18" s="56"/>
      <c r="J18" s="55" t="s">
        <v>131</v>
      </c>
      <c r="K18" s="73">
        <f>calcCodes(3,"HOLSCAN",E13,E14) + calcCodes(4,"HOLSCAN",E15,E16) + calcCodes(5,"HOLSCAN",E17,E18)</f>
        <v>0</v>
      </c>
      <c r="M18" s="55"/>
      <c r="N18" s="73"/>
      <c r="P18" s="65"/>
      <c r="Q18" s="66"/>
      <c r="R18" s="61"/>
      <c r="S18" s="63"/>
      <c r="T18" s="63"/>
    </row>
    <row r="19" spans="1:20" ht="13.5" thickBot="1" x14ac:dyDescent="0.25">
      <c r="A19" s="63"/>
      <c r="B19" s="85"/>
      <c r="C19" s="85"/>
      <c r="D19" s="104"/>
      <c r="E19" s="105"/>
      <c r="G19" s="59"/>
      <c r="H19" s="60"/>
      <c r="J19" s="82"/>
      <c r="K19" s="60"/>
      <c r="M19" s="59" t="str">
        <f>TSy!G6</f>
        <v>Contents (NRMA)</v>
      </c>
      <c r="N19" s="89"/>
      <c r="P19" s="67"/>
      <c r="Q19" s="68"/>
      <c r="R19" s="61"/>
      <c r="S19" s="63"/>
      <c r="T19" s="63"/>
    </row>
    <row r="20" spans="1:20" ht="13.5" thickTop="1" x14ac:dyDescent="0.2">
      <c r="A20" s="63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3"/>
      <c r="T20" s="63"/>
    </row>
    <row r="21" spans="1:20" ht="267.75" customHeight="1" x14ac:dyDescent="0.2">
      <c r="A21" s="63"/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</row>
    <row r="22" spans="1:20" ht="267.75" customHeight="1" x14ac:dyDescent="0.2">
      <c r="A22" s="63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</row>
    <row r="23" spans="1:20" ht="267.75" customHeight="1" x14ac:dyDescent="0.2">
      <c r="A23" s="63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</row>
    <row r="24" spans="1:20" ht="267.75" customHeight="1" x14ac:dyDescent="0.2">
      <c r="A24" s="63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</row>
    <row r="25" spans="1:20" ht="267.75" customHeight="1" x14ac:dyDescent="0.2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</row>
    <row r="26" spans="1:20" ht="267.75" customHeight="1" x14ac:dyDescent="0.2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</row>
    <row r="27" spans="1:20" ht="267.75" customHeight="1" x14ac:dyDescent="0.2"/>
    <row r="28" spans="1:20" ht="267.75" customHeight="1" x14ac:dyDescent="0.2"/>
    <row r="29" spans="1:20" ht="267.75" customHeight="1" x14ac:dyDescent="0.2"/>
    <row r="30" spans="1:20" ht="267.75" customHeight="1" x14ac:dyDescent="0.2"/>
    <row r="31" spans="1:20" ht="267.75" customHeight="1" x14ac:dyDescent="0.2"/>
    <row r="32" spans="1:20" ht="267.75" customHeight="1" x14ac:dyDescent="0.2"/>
    <row r="33" ht="267.75" customHeight="1" x14ac:dyDescent="0.2"/>
    <row r="34" ht="267.75" customHeight="1" x14ac:dyDescent="0.2"/>
    <row r="35" ht="267.75" customHeight="1" x14ac:dyDescent="0.2"/>
  </sheetData>
  <mergeCells count="11">
    <mergeCell ref="J16:K16"/>
    <mergeCell ref="P5:Q5"/>
    <mergeCell ref="G11:H11"/>
    <mergeCell ref="J11:K11"/>
    <mergeCell ref="M11:N11"/>
    <mergeCell ref="P11:Q11"/>
    <mergeCell ref="D12:E12"/>
    <mergeCell ref="D5:E5"/>
    <mergeCell ref="G5:H5"/>
    <mergeCell ref="J5:K5"/>
    <mergeCell ref="M5:N5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C0966-C215-4842-B65B-E428E52114FE}">
  <sheetPr codeName="shytsummary2">
    <tabColor rgb="FFFF0000"/>
  </sheetPr>
  <dimension ref="A1:T35"/>
  <sheetViews>
    <sheetView showGridLines="0" zoomScaleNormal="100" workbookViewId="0">
      <selection activeCell="E13" sqref="E13:E18"/>
    </sheetView>
  </sheetViews>
  <sheetFormatPr defaultColWidth="8.85546875" defaultRowHeight="12.75" x14ac:dyDescent="0.2"/>
  <cols>
    <col min="1" max="1" width="1.28515625" customWidth="1"/>
    <col min="2" max="2" width="2.42578125" customWidth="1"/>
    <col min="3" max="3" width="1.7109375" customWidth="1"/>
    <col min="4" max="4" width="17.7109375" customWidth="1"/>
    <col min="5" max="5" width="13.7109375" style="54" customWidth="1"/>
    <col min="6" max="6" width="1.7109375" customWidth="1"/>
    <col min="7" max="7" width="17.7109375" customWidth="1"/>
    <col min="8" max="8" width="13.7109375" customWidth="1"/>
    <col min="9" max="9" width="1.7109375" customWidth="1"/>
    <col min="10" max="10" width="17.7109375" customWidth="1"/>
    <col min="11" max="11" width="13.7109375" customWidth="1"/>
    <col min="12" max="12" width="1.7109375" customWidth="1"/>
    <col min="13" max="13" width="20.7109375" customWidth="1"/>
    <col min="14" max="14" width="13.7109375" customWidth="1"/>
    <col min="15" max="15" width="1.7109375" customWidth="1"/>
    <col min="16" max="16" width="20.7109375" customWidth="1"/>
    <col min="17" max="17" width="13.7109375" customWidth="1"/>
    <col min="18" max="18" width="1.7109375" customWidth="1"/>
    <col min="19" max="19" width="58.7109375" customWidth="1"/>
    <col min="20" max="20" width="49.7109375" customWidth="1"/>
  </cols>
  <sheetData>
    <row r="1" spans="1:20" ht="3.75" customHeight="1" x14ac:dyDescent="0.2">
      <c r="A1" s="63"/>
      <c r="B1" s="63"/>
      <c r="C1" s="63"/>
      <c r="D1" s="63"/>
      <c r="E1" s="64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</row>
    <row r="2" spans="1:20" ht="3.75" customHeight="1" x14ac:dyDescent="0.2">
      <c r="A2" s="63"/>
      <c r="B2" s="63"/>
      <c r="C2" s="63"/>
      <c r="D2" s="63"/>
      <c r="E2" s="64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</row>
    <row r="3" spans="1:20" x14ac:dyDescent="0.2">
      <c r="A3" s="63"/>
      <c r="B3" s="63"/>
      <c r="C3" s="63"/>
      <c r="D3" s="63"/>
      <c r="E3" s="64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</row>
    <row r="4" spans="1:20" ht="10.5" customHeight="1" thickBot="1" x14ac:dyDescent="0.25">
      <c r="A4" s="63"/>
      <c r="B4" s="61"/>
      <c r="C4" s="61"/>
      <c r="D4" s="61"/>
      <c r="E4" s="62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3"/>
      <c r="T4" s="63"/>
    </row>
    <row r="5" spans="1:20" ht="15.75" thickTop="1" x14ac:dyDescent="0.25">
      <c r="A5" s="63"/>
      <c r="B5" s="84"/>
      <c r="C5" s="85"/>
      <c r="D5" s="150" t="s">
        <v>14</v>
      </c>
      <c r="E5" s="151"/>
      <c r="G5" s="142" t="s">
        <v>0</v>
      </c>
      <c r="H5" s="143"/>
      <c r="J5" s="142" t="s">
        <v>4</v>
      </c>
      <c r="K5" s="143"/>
      <c r="M5" s="142" t="s">
        <v>52</v>
      </c>
      <c r="N5" s="143"/>
      <c r="P5" s="142" t="s">
        <v>34</v>
      </c>
      <c r="Q5" s="143"/>
      <c r="R5" s="61"/>
      <c r="S5" s="63"/>
      <c r="T5" s="63"/>
    </row>
    <row r="6" spans="1:20" x14ac:dyDescent="0.2">
      <c r="A6" s="63"/>
      <c r="B6" s="86"/>
      <c r="C6" s="85"/>
      <c r="D6" s="55" t="s">
        <v>7</v>
      </c>
      <c r="E6" s="73">
        <f>calcCodes(4,"DLXALI",E15,E16) + calcCodes(5,"DLXALI",E17,E18)</f>
        <v>0</v>
      </c>
      <c r="G6" s="55" t="str">
        <f>TSy!G6</f>
        <v>Contents (NRMA)</v>
      </c>
      <c r="H6" s="73">
        <f>calcCodes(3,"INSUHOM",E13,E14) + calcCodes(4,"INSUHOM",E15,E16)</f>
        <v>0</v>
      </c>
      <c r="J6" s="55" t="str">
        <f>TSy!J6</f>
        <v>Petrol</v>
      </c>
      <c r="K6" s="73">
        <f>calcCodes(4,"OTHTRF",E15,E16) + calcCodes(5,"OTHTRF",E17,E18)</f>
        <v>0</v>
      </c>
      <c r="M6" s="55" t="s">
        <v>45</v>
      </c>
      <c r="N6" s="73">
        <f>calcCodes(3,"HSHPHO",E13,E14) + calcCodes(4,"HSHPHO",E15,E16) + calcCodes(5,"HSHPHO",E17,E18)</f>
        <v>0</v>
      </c>
      <c r="P6" s="55" t="s">
        <v>132</v>
      </c>
      <c r="Q6" s="73">
        <f>calcCodes(3,"BKFEECH",E13,E14) + calcCodes(4,"BKFEECH",E15,E16) + calcCodes(5,"BKFEECH",E17,E18)</f>
        <v>0</v>
      </c>
      <c r="R6" s="61"/>
      <c r="S6" s="63"/>
      <c r="T6" s="63"/>
    </row>
    <row r="7" spans="1:20" x14ac:dyDescent="0.2">
      <c r="A7" s="63"/>
      <c r="B7" s="86"/>
      <c r="C7" s="85"/>
      <c r="D7" s="57" t="s">
        <v>11</v>
      </c>
      <c r="E7" s="74">
        <f>calcCodes(4,"DLXDIN",E15,E16) + calcCodes(5,"DLXDIN",E17,E18)</f>
        <v>0</v>
      </c>
      <c r="G7" s="57" t="str">
        <f>TSy!G7</f>
        <v>Auto (NRMA)</v>
      </c>
      <c r="H7" s="74">
        <f>calcCodes(3,"INSUMOT",E13,E14) + calcCodes(4,"INSUMOT",E15,E16)</f>
        <v>0</v>
      </c>
      <c r="J7" s="57" t="str">
        <f>TSy!J7</f>
        <v>Service</v>
      </c>
      <c r="K7" s="74">
        <f>calcCodes(3,"OTHTRM",E13,E14) + calcCodes(4,"OTHTRM",E15,E16) + calcCodes(5,"OTHTRM",E17,E18)</f>
        <v>0</v>
      </c>
      <c r="M7" s="57" t="s">
        <v>17</v>
      </c>
      <c r="N7" s="74">
        <f>calcCodes(3,"HSHITX",E13,E14) + calcCodes(4,"HSHITX",E15,E16) + calcCodes(5,"HSHITX",E17,E18)</f>
        <v>0</v>
      </c>
      <c r="P7" s="57"/>
      <c r="Q7" s="74"/>
      <c r="R7" s="61"/>
      <c r="S7" s="63"/>
      <c r="T7" s="63"/>
    </row>
    <row r="8" spans="1:20" x14ac:dyDescent="0.2">
      <c r="A8" s="63"/>
      <c r="B8" s="85"/>
      <c r="C8" s="85"/>
      <c r="D8" s="55" t="s">
        <v>13</v>
      </c>
      <c r="E8" s="73">
        <f>calcCodes(4,"DLXALC",E15,E16) + calcCodes(5,"DLXALC",E17,E18)</f>
        <v>0</v>
      </c>
      <c r="G8" s="55" t="str">
        <f>TSy!G8</f>
        <v>RACQ</v>
      </c>
      <c r="H8" s="73">
        <f>calcCodes(3,"INSUHLO",E13,E14) + calcCodes(4,"INSUHLO",E15,E16)</f>
        <v>0</v>
      </c>
      <c r="J8" s="55" t="str">
        <f>TSy!J8</f>
        <v>Parking</v>
      </c>
      <c r="K8" s="73">
        <f>calcCodes(4,"OTHTRP",E15,E16) + calcCodes(5,"OTHTRP",E17,E18)</f>
        <v>0</v>
      </c>
      <c r="M8" s="55" t="s">
        <v>50</v>
      </c>
      <c r="N8" s="73">
        <f>calcCodes(3,"HSHUTI",E13,E14) + calcCodes(4,"HSHUTI",E15,E16) + calcCodes(5,"HSHUTI",E17,E18)</f>
        <v>0</v>
      </c>
      <c r="P8" s="55"/>
      <c r="Q8" s="83"/>
      <c r="R8" s="61"/>
      <c r="S8" s="63"/>
      <c r="T8" s="63"/>
    </row>
    <row r="9" spans="1:20" x14ac:dyDescent="0.2">
      <c r="A9" s="63"/>
      <c r="B9" s="85"/>
      <c r="C9" s="85"/>
      <c r="D9" s="57" t="s">
        <v>16</v>
      </c>
      <c r="E9" s="74">
        <f>calcCodes(4,"DLXENT",E15,E16)</f>
        <v>0</v>
      </c>
      <c r="G9" s="57"/>
      <c r="H9" s="58"/>
      <c r="J9" s="57" t="str">
        <f>TSy!J9</f>
        <v>Public Transp</v>
      </c>
      <c r="K9" s="74">
        <f>calcCodes(3,"OTHTRT",E13,E14) + calcCodes(4,"OTHTRT",E15,E16) + calcCodes(5,"OTHTRT",E17,E18)</f>
        <v>0</v>
      </c>
      <c r="M9" s="57" t="s">
        <v>51</v>
      </c>
      <c r="N9" s="74">
        <f>calcCodes(3,"HSHLGL",E13,E14) + calcCodes(4,"HSHLGL",E15,E16) + calcCodes(5,"HSHLGL",E17,E18)</f>
        <v>0</v>
      </c>
      <c r="P9" s="57"/>
      <c r="Q9" s="74"/>
      <c r="R9" s="61"/>
      <c r="S9" s="63"/>
      <c r="T9" s="63"/>
    </row>
    <row r="10" spans="1:20" ht="13.5" thickBot="1" x14ac:dyDescent="0.25">
      <c r="A10" s="63"/>
      <c r="B10" s="85"/>
      <c r="C10" s="85"/>
      <c r="D10" s="55" t="s">
        <v>9</v>
      </c>
      <c r="E10" s="73">
        <f>calcCodes(4,"DLXHAI",E15,E16)</f>
        <v>0</v>
      </c>
      <c r="G10" s="55"/>
      <c r="H10" s="88">
        <f>SUM(H6:H9)</f>
        <v>0</v>
      </c>
      <c r="J10" s="55" t="str">
        <f>TSy!J10</f>
        <v>Rego &amp; Fines</v>
      </c>
      <c r="K10" s="73">
        <f>calcCodes(3,"OTHTRR",E13,E14) + calcCodes(4,"OTHTRR",E15,E16) + calcCodes(5,"OTHTRR",E17,E18)</f>
        <v>0</v>
      </c>
      <c r="M10" s="80"/>
      <c r="N10" s="81"/>
      <c r="P10" s="80"/>
      <c r="Q10" s="81"/>
      <c r="R10" s="61"/>
      <c r="S10" s="63"/>
      <c r="T10" s="63"/>
    </row>
    <row r="11" spans="1:20" ht="13.5" thickTop="1" x14ac:dyDescent="0.2">
      <c r="A11" s="63"/>
      <c r="B11" s="85"/>
      <c r="C11" s="85"/>
      <c r="D11" s="57" t="s">
        <v>18</v>
      </c>
      <c r="E11" s="74">
        <f>calcCodes(4,"HSHUNK",E15,E16)</f>
        <v>0</v>
      </c>
      <c r="G11" s="144" t="s">
        <v>5</v>
      </c>
      <c r="H11" s="145"/>
      <c r="J11" s="142" t="s">
        <v>127</v>
      </c>
      <c r="K11" s="143"/>
      <c r="M11" s="144" t="s">
        <v>35</v>
      </c>
      <c r="N11" s="145"/>
      <c r="P11" s="146" t="s">
        <v>42</v>
      </c>
      <c r="Q11" s="147"/>
      <c r="R11" s="61"/>
      <c r="S11" s="63"/>
      <c r="T11" s="63"/>
    </row>
    <row r="12" spans="1:20" x14ac:dyDescent="0.2">
      <c r="A12" s="63"/>
      <c r="B12" s="85"/>
      <c r="C12" s="85"/>
      <c r="D12" s="148" t="s">
        <v>64</v>
      </c>
      <c r="E12" s="149"/>
      <c r="G12" s="55" t="s">
        <v>38</v>
      </c>
      <c r="H12" s="73">
        <f>calcCodes(3,"HSHMED",E13,E14) + calcCodes(4,"HSHMED",E15,E16) + calcCodes(5,"HSHMED",E17,E18)</f>
        <v>0</v>
      </c>
      <c r="J12" s="55" t="s">
        <v>44</v>
      </c>
      <c r="K12" s="73">
        <f>calcCodes(3,"HSHMAI",E13,E14) + calcCodes(4,"HSHMAI",E15,E16) + calcCodes(5,"HSHMAI",E17,E18)</f>
        <v>0</v>
      </c>
      <c r="M12" s="55" t="s">
        <v>65</v>
      </c>
      <c r="N12" s="73">
        <f>calcCodes(3,"OTHGFF",E13,E14) + calcCodes(4,"OTHGFF",E15,E16) + calcCodes(5,"OTHGFT",E17,E18)</f>
        <v>0</v>
      </c>
      <c r="P12" s="65" t="str">
        <f>TSy!P12</f>
        <v>Income-A</v>
      </c>
      <c r="Q12" s="66">
        <f>calcCodes(5,"REVUSSS",E17,E18)</f>
        <v>0</v>
      </c>
      <c r="R12" s="61"/>
      <c r="S12" s="63"/>
      <c r="T12" s="63"/>
    </row>
    <row r="13" spans="1:20" x14ac:dyDescent="0.2">
      <c r="A13" s="63"/>
      <c r="B13" s="85"/>
      <c r="C13" s="85"/>
      <c r="D13" s="103" t="s">
        <v>62</v>
      </c>
      <c r="E13" s="106">
        <v>60</v>
      </c>
      <c r="G13" s="57" t="s">
        <v>39</v>
      </c>
      <c r="H13" s="74">
        <f>calcCodes(3,"HSHMDA",E13,E14) + calcCodes(4,"HSHMDA",E15,E16) + calcCodes(5,"HSHMDA",E17,E18)</f>
        <v>0</v>
      </c>
      <c r="J13" s="57" t="s">
        <v>128</v>
      </c>
      <c r="K13" s="74">
        <f>calcCodes(3,"HSHOTH",E13,E14) + calcCodes(4,"HSHOTH",E15,E16) + calcCodes(5,"HSHOTH",E17,E18)</f>
        <v>0</v>
      </c>
      <c r="M13" s="57" t="s">
        <v>6</v>
      </c>
      <c r="N13" s="74">
        <f>calcCodes(3,"OTHDON",E13,E14) + calcCodes(4,"OTHDON",E15,E16) + calcCodes(5,"OTHDON",E17,E18)</f>
        <v>0</v>
      </c>
      <c r="P13" s="67" t="str">
        <f>TSy!P13</f>
        <v>Income-B</v>
      </c>
      <c r="Q13" s="68">
        <f>calcCodes(5,"REVUSSJ",E17,E18)</f>
        <v>0</v>
      </c>
      <c r="R13" s="61"/>
      <c r="S13" s="63"/>
      <c r="T13" s="63"/>
    </row>
    <row r="14" spans="1:20" ht="13.5" thickBot="1" x14ac:dyDescent="0.25">
      <c r="A14" s="63"/>
      <c r="B14" s="85"/>
      <c r="C14" s="85"/>
      <c r="D14" s="103" t="s">
        <v>63</v>
      </c>
      <c r="E14" s="106">
        <v>114</v>
      </c>
      <c r="G14" s="55"/>
      <c r="H14" s="73"/>
      <c r="J14" s="55" t="s">
        <v>43</v>
      </c>
      <c r="K14" s="73">
        <f>calcCodes(3,"HSHFUR",E13,E14) + calcCodes(4,"HSHFUR",E15,E16) + calcCodes(5,"HSHFUR",E17,E18)</f>
        <v>0</v>
      </c>
      <c r="M14" s="55" t="s">
        <v>48</v>
      </c>
      <c r="N14" s="73">
        <f>calcCodes(3,"OTHHOR",E13,E14) + calcCodes(4,"OTHHOR",E15,E16) + calcCodes(5,"OTHHOR",E17,E18)</f>
        <v>0</v>
      </c>
      <c r="P14" s="107" t="str">
        <f>TSy!P14</f>
        <v>Income-C</v>
      </c>
      <c r="Q14" s="108">
        <f>calcCodes(3,"REVAUPN",E13,E14)</f>
        <v>0</v>
      </c>
      <c r="R14" s="61"/>
      <c r="S14" s="63"/>
      <c r="T14" s="63"/>
    </row>
    <row r="15" spans="1:20" ht="14.25" thickTop="1" thickBot="1" x14ac:dyDescent="0.25">
      <c r="A15" s="63"/>
      <c r="B15" s="85"/>
      <c r="C15" s="85"/>
      <c r="D15" s="103" t="s">
        <v>60</v>
      </c>
      <c r="E15" s="106">
        <v>214</v>
      </c>
      <c r="G15" s="57"/>
      <c r="H15" s="74"/>
      <c r="J15" s="59" t="s">
        <v>44</v>
      </c>
      <c r="K15" s="89">
        <f>calcCodes(3,"HSHMAI",E13,E14) + calcCodes(4,"HSHMAI",E15,E16) + calcCodes(5,"HSHMAI",E17,E18)</f>
        <v>0</v>
      </c>
      <c r="M15" s="57" t="s">
        <v>49</v>
      </c>
      <c r="N15" s="74">
        <f>calcCodes(3,"OTHHOJ",E13,E14) + calcCodes(4,"OTHHOJ",E15,E16) + calcCodes(5,"OTHHOJ",E17,E18)</f>
        <v>0</v>
      </c>
      <c r="P15" s="67" t="str">
        <f>TSy!P15</f>
        <v>Other</v>
      </c>
      <c r="Q15" s="68">
        <f>calcCodes(5,"BKTFINGP",E17,E18)</f>
        <v>0</v>
      </c>
      <c r="R15" s="61"/>
      <c r="S15" s="63"/>
      <c r="T15" s="63"/>
    </row>
    <row r="16" spans="1:20" ht="13.5" thickTop="1" x14ac:dyDescent="0.2">
      <c r="A16" s="63"/>
      <c r="B16" s="85"/>
      <c r="C16" s="85"/>
      <c r="D16" s="103" t="s">
        <v>61</v>
      </c>
      <c r="E16" s="106">
        <v>457</v>
      </c>
      <c r="G16" s="55"/>
      <c r="H16" s="73"/>
      <c r="J16" s="142" t="s">
        <v>129</v>
      </c>
      <c r="K16" s="143"/>
      <c r="M16" s="55"/>
      <c r="N16" s="73"/>
      <c r="P16" s="65" t="str">
        <f>TSy!P16</f>
        <v>Retirement TopUp</v>
      </c>
      <c r="Q16" s="66">
        <f>calcCodes(3,"REVAUSR",E13,E14) + calcCodes(4,"REVAUSR",E15,E16) + calcCodes(5,"REVAUSR",E17,E18)</f>
        <v>0</v>
      </c>
      <c r="R16" s="61"/>
      <c r="S16" s="63"/>
      <c r="T16" s="63"/>
    </row>
    <row r="17" spans="1:20" ht="13.5" thickBot="1" x14ac:dyDescent="0.25">
      <c r="A17" s="63"/>
      <c r="B17" s="85"/>
      <c r="C17" s="85"/>
      <c r="D17" s="103" t="s">
        <v>58</v>
      </c>
      <c r="E17" s="106">
        <v>68</v>
      </c>
      <c r="G17" s="57"/>
      <c r="H17" s="74"/>
      <c r="J17" s="57" t="s">
        <v>130</v>
      </c>
      <c r="K17" s="74">
        <f>calcCodes(3,"HOLSOZL",E13,E14) + calcCodes(4,"HOLSOZL",E15,E16) + calcCodes(5,"HOLSOZL",E17,E18)</f>
        <v>0</v>
      </c>
      <c r="M17" s="59"/>
      <c r="N17" s="89"/>
      <c r="P17" s="67" t="str">
        <f>TSy!P17</f>
        <v>Refunds-Loan Repay</v>
      </c>
      <c r="Q17" s="68">
        <f>calcCodes(3,"REVLPR",E13,E14) + calcCodes(4,"REVREF",E15,E16) + calcCodes(5,"REVLPR",E17,E18)</f>
        <v>0</v>
      </c>
      <c r="R17" s="61"/>
      <c r="S17" s="63"/>
      <c r="T17" s="63"/>
    </row>
    <row r="18" spans="1:20" ht="13.5" thickTop="1" x14ac:dyDescent="0.2">
      <c r="A18" s="63"/>
      <c r="B18" s="85"/>
      <c r="C18" s="85"/>
      <c r="D18" s="103" t="s">
        <v>59</v>
      </c>
      <c r="E18" s="106">
        <v>139</v>
      </c>
      <c r="G18" s="55"/>
      <c r="H18" s="56"/>
      <c r="J18" s="55" t="s">
        <v>131</v>
      </c>
      <c r="K18" s="73">
        <f>calcCodes(3,"HOLSCAN",E13,E14) + calcCodes(4,"HOLSCAN",E15,E16) + calcCodes(5,"HOLSCAN",E17,E18)</f>
        <v>0</v>
      </c>
      <c r="M18" s="55"/>
      <c r="N18" s="73">
        <f>calcCodes(4,"HSHPAY",E15,E16)+calcCodes(5,"HSHPAY",E17,E18)</f>
        <v>0</v>
      </c>
      <c r="P18" s="65"/>
      <c r="Q18" s="66"/>
      <c r="R18" s="61"/>
      <c r="S18" s="63"/>
      <c r="T18" s="63"/>
    </row>
    <row r="19" spans="1:20" ht="13.5" thickBot="1" x14ac:dyDescent="0.25">
      <c r="A19" s="63"/>
      <c r="B19" s="85"/>
      <c r="C19" s="85"/>
      <c r="D19" s="104"/>
      <c r="E19" s="105"/>
      <c r="G19" s="59"/>
      <c r="H19" s="60"/>
      <c r="J19" s="82"/>
      <c r="K19" s="60"/>
      <c r="M19" s="59"/>
      <c r="N19" s="89">
        <f>calcCodes(3,"HSHUPG",E13,E14)+calcCodes(4,"HSHUPG",E15,E16)+calcCodes(5,"HSHUPG",E17,E18)</f>
        <v>0</v>
      </c>
      <c r="P19" s="67"/>
      <c r="Q19" s="68"/>
      <c r="R19" s="61"/>
      <c r="S19" s="63"/>
      <c r="T19" s="63"/>
    </row>
    <row r="20" spans="1:20" ht="13.5" thickTop="1" x14ac:dyDescent="0.2">
      <c r="A20" s="63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3"/>
      <c r="T20" s="63"/>
    </row>
    <row r="21" spans="1:20" ht="267.75" customHeight="1" x14ac:dyDescent="0.2">
      <c r="A21" s="63"/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</row>
    <row r="22" spans="1:20" ht="267.75" customHeight="1" x14ac:dyDescent="0.2">
      <c r="A22" s="63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</row>
    <row r="23" spans="1:20" ht="267.75" customHeight="1" x14ac:dyDescent="0.2">
      <c r="A23" s="63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</row>
    <row r="24" spans="1:20" ht="267.75" customHeight="1" x14ac:dyDescent="0.2">
      <c r="A24" s="63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</row>
    <row r="25" spans="1:20" ht="267.75" customHeight="1" x14ac:dyDescent="0.2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</row>
    <row r="26" spans="1:20" ht="267.75" customHeight="1" x14ac:dyDescent="0.2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</row>
    <row r="27" spans="1:20" ht="267.75" customHeight="1" x14ac:dyDescent="0.2"/>
    <row r="28" spans="1:20" ht="267.75" customHeight="1" x14ac:dyDescent="0.2"/>
    <row r="29" spans="1:20" ht="267.75" customHeight="1" x14ac:dyDescent="0.2"/>
    <row r="30" spans="1:20" ht="267.75" customHeight="1" x14ac:dyDescent="0.2"/>
    <row r="31" spans="1:20" ht="267.75" customHeight="1" x14ac:dyDescent="0.2"/>
    <row r="32" spans="1:20" ht="267.75" customHeight="1" x14ac:dyDescent="0.2"/>
    <row r="33" ht="267.75" customHeight="1" x14ac:dyDescent="0.2"/>
    <row r="34" ht="267.75" customHeight="1" x14ac:dyDescent="0.2"/>
    <row r="35" ht="267.75" customHeight="1" x14ac:dyDescent="0.2"/>
  </sheetData>
  <mergeCells count="11">
    <mergeCell ref="J16:K16"/>
    <mergeCell ref="P5:Q5"/>
    <mergeCell ref="G11:H11"/>
    <mergeCell ref="J11:K11"/>
    <mergeCell ref="M11:N11"/>
    <mergeCell ref="P11:Q11"/>
    <mergeCell ref="D12:E12"/>
    <mergeCell ref="D5:E5"/>
    <mergeCell ref="G5:H5"/>
    <mergeCell ref="J5:K5"/>
    <mergeCell ref="M5:N5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B4E71-8B1C-4E83-92C3-F2BB91F669C1}">
  <sheetPr codeName="shytsummary3">
    <tabColor rgb="FFFF0000"/>
  </sheetPr>
  <dimension ref="A1:T35"/>
  <sheetViews>
    <sheetView showGridLines="0" zoomScaleNormal="100" workbookViewId="0">
      <selection activeCell="J6" sqref="J6:J10"/>
    </sheetView>
  </sheetViews>
  <sheetFormatPr defaultColWidth="8.85546875" defaultRowHeight="12.75" x14ac:dyDescent="0.2"/>
  <cols>
    <col min="1" max="1" width="1.28515625" customWidth="1"/>
    <col min="2" max="2" width="2.42578125" customWidth="1"/>
    <col min="3" max="3" width="1.7109375" customWidth="1"/>
    <col min="4" max="4" width="17.7109375" customWidth="1"/>
    <col min="5" max="5" width="13.7109375" style="54" customWidth="1"/>
    <col min="6" max="6" width="1.7109375" customWidth="1"/>
    <col min="7" max="7" width="17.7109375" customWidth="1"/>
    <col min="8" max="8" width="13.7109375" customWidth="1"/>
    <col min="9" max="9" width="1.7109375" customWidth="1"/>
    <col min="10" max="10" width="17.7109375" customWidth="1"/>
    <col min="11" max="11" width="13.7109375" customWidth="1"/>
    <col min="12" max="12" width="1.7109375" customWidth="1"/>
    <col min="13" max="13" width="20.7109375" customWidth="1"/>
    <col min="14" max="14" width="13.7109375" customWidth="1"/>
    <col min="15" max="15" width="1.7109375" customWidth="1"/>
    <col min="16" max="16" width="20.7109375" customWidth="1"/>
    <col min="17" max="17" width="13.7109375" customWidth="1"/>
    <col min="18" max="18" width="1.7109375" customWidth="1"/>
    <col min="19" max="19" width="58.7109375" customWidth="1"/>
    <col min="20" max="20" width="49.7109375" customWidth="1"/>
  </cols>
  <sheetData>
    <row r="1" spans="1:20" ht="3.75" customHeight="1" x14ac:dyDescent="0.2">
      <c r="A1" s="63"/>
      <c r="B1" s="63"/>
      <c r="C1" s="63"/>
      <c r="D1" s="63"/>
      <c r="E1" s="64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</row>
    <row r="2" spans="1:20" ht="3.75" customHeight="1" x14ac:dyDescent="0.2">
      <c r="A2" s="63"/>
      <c r="B2" s="63"/>
      <c r="C2" s="63"/>
      <c r="D2" s="63"/>
      <c r="E2" s="64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</row>
    <row r="3" spans="1:20" x14ac:dyDescent="0.2">
      <c r="A3" s="63"/>
      <c r="B3" s="63"/>
      <c r="C3" s="63"/>
      <c r="D3" s="63"/>
      <c r="E3" s="64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</row>
    <row r="4" spans="1:20" ht="10.5" customHeight="1" thickBot="1" x14ac:dyDescent="0.25">
      <c r="A4" s="63"/>
      <c r="B4" s="61"/>
      <c r="C4" s="61"/>
      <c r="D4" s="61"/>
      <c r="E4" s="62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3"/>
      <c r="T4" s="63"/>
    </row>
    <row r="5" spans="1:20" ht="15.75" thickTop="1" x14ac:dyDescent="0.25">
      <c r="A5" s="63"/>
      <c r="B5" s="84"/>
      <c r="C5" s="85"/>
      <c r="D5" s="150" t="s">
        <v>14</v>
      </c>
      <c r="E5" s="151"/>
      <c r="G5" s="142" t="s">
        <v>0</v>
      </c>
      <c r="H5" s="143"/>
      <c r="J5" s="142" t="s">
        <v>4</v>
      </c>
      <c r="K5" s="143"/>
      <c r="M5" s="142" t="s">
        <v>52</v>
      </c>
      <c r="N5" s="143"/>
      <c r="P5" s="142" t="s">
        <v>34</v>
      </c>
      <c r="Q5" s="143"/>
      <c r="R5" s="61"/>
      <c r="S5" s="63"/>
      <c r="T5" s="63"/>
    </row>
    <row r="6" spans="1:20" x14ac:dyDescent="0.2">
      <c r="A6" s="63"/>
      <c r="B6" s="86"/>
      <c r="C6" s="85"/>
      <c r="D6" s="55" t="s">
        <v>7</v>
      </c>
      <c r="E6" s="73">
        <f>calcCodes(4,"DLXALI",E15,E16) + calcCodes(5,"DLXALI",E17,E18)</f>
        <v>0</v>
      </c>
      <c r="G6" s="55" t="str">
        <f>TSy!G6</f>
        <v>Contents (NRMA)</v>
      </c>
      <c r="H6" s="73">
        <f>calcCodes(3,"INSUHOM",E13,E14) + calcCodes(4,"INSUHOM",E15,E16)</f>
        <v>0</v>
      </c>
      <c r="J6" s="55" t="str">
        <f>TSy!J6</f>
        <v>Petrol</v>
      </c>
      <c r="K6" s="73">
        <f>calcCodes(4,"OTHTRF",E15,E16) + calcCodes(5,"OTHTRF",E17,E18)</f>
        <v>0</v>
      </c>
      <c r="M6" s="55" t="s">
        <v>45</v>
      </c>
      <c r="N6" s="73">
        <f>calcCodes(3,"HSHPHO",E13,E14) + calcCodes(4,"HSHPHO",E15,E16) + calcCodes(5,"HSHPHO",E17,E18)</f>
        <v>0</v>
      </c>
      <c r="P6" s="55" t="s">
        <v>132</v>
      </c>
      <c r="Q6" s="73">
        <f>calcCodes(3,"BKFEECH",E13,E14) + calcCodes(4,"BKFEECH",E15,E16) + calcCodes(5,"BKFEECH",E17,E18)</f>
        <v>0</v>
      </c>
      <c r="R6" s="61"/>
      <c r="S6" s="63"/>
      <c r="T6" s="63"/>
    </row>
    <row r="7" spans="1:20" x14ac:dyDescent="0.2">
      <c r="A7" s="63"/>
      <c r="B7" s="86"/>
      <c r="C7" s="85"/>
      <c r="D7" s="57" t="s">
        <v>11</v>
      </c>
      <c r="E7" s="74">
        <f>calcCodes(4,"DLXDIN",E15,E16) + calcCodes(5,"DLXDIN",E17,E18)</f>
        <v>0</v>
      </c>
      <c r="G7" s="57" t="str">
        <f>TSy!G7</f>
        <v>Auto (NRMA)</v>
      </c>
      <c r="H7" s="74">
        <f>calcCodes(3,"INSUMOT",E13,E14) + calcCodes(4,"INSUMOT",E15,E16)</f>
        <v>0</v>
      </c>
      <c r="J7" s="57" t="str">
        <f>TSy!J7</f>
        <v>Service</v>
      </c>
      <c r="K7" s="74">
        <f>calcCodes(3,"OTHTRM",E13,E14) + calcCodes(4,"OTHTRM",E15,E16) + calcCodes(5,"OTHTRM",E17,E18)</f>
        <v>0</v>
      </c>
      <c r="M7" s="57" t="s">
        <v>17</v>
      </c>
      <c r="N7" s="74">
        <f>calcCodes(3,"HSHITX",E13,E14) + calcCodes(4,"HSHITX",E15,E16) + calcCodes(5,"HSHITX",E17,E18)</f>
        <v>0</v>
      </c>
      <c r="P7" s="57"/>
      <c r="Q7" s="74"/>
      <c r="R7" s="61"/>
      <c r="S7" s="63"/>
      <c r="T7" s="63"/>
    </row>
    <row r="8" spans="1:20" x14ac:dyDescent="0.2">
      <c r="A8" s="63"/>
      <c r="B8" s="85"/>
      <c r="C8" s="85"/>
      <c r="D8" s="55" t="s">
        <v>13</v>
      </c>
      <c r="E8" s="73">
        <f>calcCodes(4,"DLXALC",E15,E16) + calcCodes(5,"DLXALC",E17,E18)</f>
        <v>0</v>
      </c>
      <c r="G8" s="55" t="str">
        <f>TSy!G8</f>
        <v>RACQ</v>
      </c>
      <c r="H8" s="73">
        <f>calcCodes(3,"INSUHLO",E13,E14) + calcCodes(4,"INSUHLO",E15,E16)</f>
        <v>0</v>
      </c>
      <c r="J8" s="55" t="str">
        <f>TSy!J8</f>
        <v>Parking</v>
      </c>
      <c r="K8" s="73">
        <f>calcCodes(4,"OTHTRP",E15,E16) + calcCodes(5,"OTHTRP",E17,E18)</f>
        <v>0</v>
      </c>
      <c r="M8" s="55" t="s">
        <v>50</v>
      </c>
      <c r="N8" s="73">
        <f>calcCodes(3,"HSHUTI",E13,E14) + calcCodes(4,"HSHUTI",E15,E16) + calcCodes(5,"HSHUTI",E17,E18)</f>
        <v>0</v>
      </c>
      <c r="P8" s="55"/>
      <c r="Q8" s="83"/>
      <c r="R8" s="61"/>
      <c r="S8" s="63"/>
      <c r="T8" s="63"/>
    </row>
    <row r="9" spans="1:20" x14ac:dyDescent="0.2">
      <c r="A9" s="63"/>
      <c r="B9" s="85"/>
      <c r="C9" s="85"/>
      <c r="D9" s="57" t="s">
        <v>16</v>
      </c>
      <c r="E9" s="74">
        <f>calcCodes(4,"DLXENT",E15,E16)</f>
        <v>0</v>
      </c>
      <c r="G9" s="57"/>
      <c r="H9" s="58"/>
      <c r="J9" s="57" t="str">
        <f>TSy!J9</f>
        <v>Public Transp</v>
      </c>
      <c r="K9" s="74">
        <f>calcCodes(3,"OTHTRT",E13,E14) + calcCodes(4,"OTHTRT",E15,E16) + calcCodes(5,"OTHTRT",E17,E18)</f>
        <v>0</v>
      </c>
      <c r="M9" s="57" t="s">
        <v>51</v>
      </c>
      <c r="N9" s="74">
        <f>calcCodes(3,"HSHLGL",E13,E14) + calcCodes(4,"HSHLGL",E15,E16) + calcCodes(5,"HSHLGL",E17,E18)</f>
        <v>0</v>
      </c>
      <c r="P9" s="57"/>
      <c r="Q9" s="74"/>
      <c r="R9" s="61"/>
      <c r="S9" s="63"/>
      <c r="T9" s="63"/>
    </row>
    <row r="10" spans="1:20" ht="13.5" thickBot="1" x14ac:dyDescent="0.25">
      <c r="A10" s="63"/>
      <c r="B10" s="85"/>
      <c r="C10" s="85"/>
      <c r="D10" s="55" t="s">
        <v>9</v>
      </c>
      <c r="E10" s="73">
        <f>calcCodes(4,"DLXHAI",E15,E16)</f>
        <v>0</v>
      </c>
      <c r="G10" s="55"/>
      <c r="H10" s="88">
        <f>SUM(H6:H9)</f>
        <v>0</v>
      </c>
      <c r="J10" s="55" t="str">
        <f>TSy!J10</f>
        <v>Rego &amp; Fines</v>
      </c>
      <c r="K10" s="73">
        <f>calcCodes(3,"OTHTRR",E13,E14) + calcCodes(4,"OTHTRR",E15,E16) + calcCodes(5,"OTHTRR",E17,E18)</f>
        <v>0</v>
      </c>
      <c r="M10" s="80"/>
      <c r="N10" s="81"/>
      <c r="P10" s="80"/>
      <c r="Q10" s="81"/>
      <c r="R10" s="61"/>
      <c r="S10" s="63"/>
      <c r="T10" s="63"/>
    </row>
    <row r="11" spans="1:20" ht="13.5" thickTop="1" x14ac:dyDescent="0.2">
      <c r="A11" s="63"/>
      <c r="B11" s="85"/>
      <c r="C11" s="85"/>
      <c r="D11" s="57" t="s">
        <v>18</v>
      </c>
      <c r="E11" s="74">
        <f>calcCodes(4,"HSHUNK",E15,E16)</f>
        <v>0</v>
      </c>
      <c r="G11" s="144" t="s">
        <v>5</v>
      </c>
      <c r="H11" s="145"/>
      <c r="J11" s="142" t="s">
        <v>127</v>
      </c>
      <c r="K11" s="143"/>
      <c r="M11" s="144" t="s">
        <v>35</v>
      </c>
      <c r="N11" s="145"/>
      <c r="P11" s="146" t="s">
        <v>42</v>
      </c>
      <c r="Q11" s="147"/>
      <c r="R11" s="61"/>
      <c r="S11" s="63"/>
      <c r="T11" s="63"/>
    </row>
    <row r="12" spans="1:20" x14ac:dyDescent="0.2">
      <c r="A12" s="63"/>
      <c r="B12" s="85"/>
      <c r="C12" s="85"/>
      <c r="D12" s="148" t="s">
        <v>64</v>
      </c>
      <c r="E12" s="149"/>
      <c r="G12" s="55" t="s">
        <v>38</v>
      </c>
      <c r="H12" s="73">
        <f>calcCodes(3,"HSHMED",E13,E14) + calcCodes(4,"HSHMED",E15,E16) + calcCodes(5,"HSHMED",E17,E18)</f>
        <v>0</v>
      </c>
      <c r="J12" s="55" t="s">
        <v>44</v>
      </c>
      <c r="K12" s="73">
        <f>calcCodes(3,"HSHMAI",E13,E14) + calcCodes(4,"HSHMAI",E15,E16) + calcCodes(5,"HSHMAI",E17,E18)</f>
        <v>0</v>
      </c>
      <c r="M12" s="55" t="s">
        <v>65</v>
      </c>
      <c r="N12" s="73">
        <f>calcCodes(3,"OTHGFF",E13,E14) + calcCodes(4,"OTHGFF",E15,E16) + calcCodes(5,"OTHGFT",E17,E18)</f>
        <v>0</v>
      </c>
      <c r="P12" s="65" t="str">
        <f>TSy!P12</f>
        <v>Income-A</v>
      </c>
      <c r="Q12" s="66">
        <f>calcCodes(5,"REVUSSS",E17,E18)</f>
        <v>0</v>
      </c>
      <c r="R12" s="61"/>
      <c r="S12" s="63"/>
      <c r="T12" s="63"/>
    </row>
    <row r="13" spans="1:20" x14ac:dyDescent="0.2">
      <c r="A13" s="63"/>
      <c r="B13" s="85"/>
      <c r="C13" s="85"/>
      <c r="D13" s="103" t="s">
        <v>62</v>
      </c>
      <c r="E13" s="106">
        <v>115</v>
      </c>
      <c r="G13" s="57" t="s">
        <v>39</v>
      </c>
      <c r="H13" s="74">
        <f>calcCodes(3,"HSHMDA",E13,E14) + calcCodes(4,"HSHMDA",E15,E16) + calcCodes(5,"HSHMDA",E17,E18)</f>
        <v>0</v>
      </c>
      <c r="J13" s="57" t="s">
        <v>128</v>
      </c>
      <c r="K13" s="74">
        <f>calcCodes(3,"HSHOTH",E13,E14) + calcCodes(4,"HSHOTH",E15,E16) + calcCodes(5,"HSHOTH",E17,E18)</f>
        <v>0</v>
      </c>
      <c r="M13" s="57" t="s">
        <v>6</v>
      </c>
      <c r="N13" s="74">
        <f>calcCodes(3,"OTHDON",E13,E14) + calcCodes(4,"OTHDON",E15,E16) + calcCodes(5,"OTHDON",E17,E18)</f>
        <v>0</v>
      </c>
      <c r="P13" s="67" t="str">
        <f>TSy!P13</f>
        <v>Income-B</v>
      </c>
      <c r="Q13" s="68">
        <f>calcCodes(5,"REVUSSJ",E17,E18)</f>
        <v>0</v>
      </c>
      <c r="R13" s="61"/>
      <c r="S13" s="63"/>
      <c r="T13" s="63"/>
    </row>
    <row r="14" spans="1:20" ht="13.5" thickBot="1" x14ac:dyDescent="0.25">
      <c r="A14" s="63"/>
      <c r="B14" s="85"/>
      <c r="C14" s="85"/>
      <c r="D14" s="103" t="s">
        <v>63</v>
      </c>
      <c r="E14" s="106">
        <v>172</v>
      </c>
      <c r="G14" s="55"/>
      <c r="H14" s="73"/>
      <c r="J14" s="55" t="s">
        <v>43</v>
      </c>
      <c r="K14" s="73">
        <f>calcCodes(3,"HSHFUR",E13,E14) + calcCodes(4,"HSHFUR",E15,E16) + calcCodes(5,"HSHFUR",E17,E18)</f>
        <v>0</v>
      </c>
      <c r="M14" s="55" t="s">
        <v>48</v>
      </c>
      <c r="N14" s="73">
        <f>calcCodes(3,"OTHHOR",E13,E14) + calcCodes(4,"OTHHOR",E15,E16) + calcCodes(5,"OTHHOR",E17,E18)</f>
        <v>0</v>
      </c>
      <c r="P14" s="107" t="str">
        <f>TSy!P14</f>
        <v>Income-C</v>
      </c>
      <c r="Q14" s="108">
        <f>calcCodes(3,"REVAUPN",E13,E14)</f>
        <v>0</v>
      </c>
      <c r="R14" s="61"/>
      <c r="S14" s="63"/>
      <c r="T14" s="63"/>
    </row>
    <row r="15" spans="1:20" ht="14.25" thickTop="1" thickBot="1" x14ac:dyDescent="0.25">
      <c r="A15" s="63"/>
      <c r="B15" s="85"/>
      <c r="C15" s="85"/>
      <c r="D15" s="103" t="s">
        <v>60</v>
      </c>
      <c r="E15" s="106">
        <v>458</v>
      </c>
      <c r="G15" s="57"/>
      <c r="H15" s="74"/>
      <c r="J15" s="59" t="s">
        <v>44</v>
      </c>
      <c r="K15" s="89">
        <f>calcCodes(3,"HSHMAI",E13,E14) + calcCodes(4,"HSHMAI",E15,E16) + calcCodes(5,"HSHMAI",E17,E18)</f>
        <v>0</v>
      </c>
      <c r="M15" s="57" t="s">
        <v>49</v>
      </c>
      <c r="N15" s="74">
        <f>calcCodes(3,"OTHHOJ",E13,E14) + calcCodes(4,"OTHHOJ",E15,E16) + calcCodes(5,"OTHHOJ",E17,E18)</f>
        <v>0</v>
      </c>
      <c r="P15" s="67" t="str">
        <f>TSy!P15</f>
        <v>Other</v>
      </c>
      <c r="Q15" s="68">
        <f>calcCodes(5,"BKTFINGP",E17,E18)</f>
        <v>0</v>
      </c>
      <c r="R15" s="61"/>
      <c r="S15" s="63"/>
      <c r="T15" s="63"/>
    </row>
    <row r="16" spans="1:20" ht="13.5" thickTop="1" x14ac:dyDescent="0.2">
      <c r="A16" s="63"/>
      <c r="B16" s="85"/>
      <c r="C16" s="85"/>
      <c r="D16" s="103" t="s">
        <v>61</v>
      </c>
      <c r="E16" s="106">
        <v>707</v>
      </c>
      <c r="G16" s="55"/>
      <c r="H16" s="73"/>
      <c r="J16" s="142" t="s">
        <v>129</v>
      </c>
      <c r="K16" s="143"/>
      <c r="M16" s="55"/>
      <c r="N16" s="73"/>
      <c r="P16" s="65" t="str">
        <f>TSy!P16</f>
        <v>Retirement TopUp</v>
      </c>
      <c r="Q16" s="66">
        <f>calcCodes(3,"REVAUSR",E13,E14) + calcCodes(4,"REVAUSR",E15,E16) + calcCodes(5,"REVAUSR",E17,E18)</f>
        <v>0</v>
      </c>
      <c r="R16" s="61"/>
      <c r="S16" s="63"/>
      <c r="T16" s="63"/>
    </row>
    <row r="17" spans="1:20" ht="13.5" thickBot="1" x14ac:dyDescent="0.25">
      <c r="A17" s="63"/>
      <c r="B17" s="85"/>
      <c r="C17" s="85"/>
      <c r="D17" s="103" t="s">
        <v>58</v>
      </c>
      <c r="E17" s="106">
        <v>140</v>
      </c>
      <c r="G17" s="57"/>
      <c r="H17" s="74"/>
      <c r="J17" s="57" t="s">
        <v>130</v>
      </c>
      <c r="K17" s="74">
        <f>calcCodes(3,"HOLSOZL",E13,E14) + calcCodes(4,"HOLSOZL",E15,E16) + calcCodes(5,"HOLSOZL",E17,E18)</f>
        <v>0</v>
      </c>
      <c r="M17" s="59"/>
      <c r="N17" s="89"/>
      <c r="P17" s="67" t="str">
        <f>TSy!P17</f>
        <v>Refunds-Loan Repay</v>
      </c>
      <c r="Q17" s="68">
        <f>calcCodes(3,"REVLPR",E13,E14) + calcCodes(4,"REVREF",E15,E16) + calcCodes(5,"REVLPR",E17,E18)</f>
        <v>0</v>
      </c>
      <c r="R17" s="61"/>
      <c r="S17" s="63"/>
      <c r="T17" s="63"/>
    </row>
    <row r="18" spans="1:20" ht="13.5" thickTop="1" x14ac:dyDescent="0.2">
      <c r="A18" s="63"/>
      <c r="B18" s="85"/>
      <c r="C18" s="85"/>
      <c r="D18" s="103" t="s">
        <v>59</v>
      </c>
      <c r="E18" s="106">
        <v>196</v>
      </c>
      <c r="G18" s="55"/>
      <c r="H18" s="56"/>
      <c r="J18" s="55" t="s">
        <v>131</v>
      </c>
      <c r="K18" s="73">
        <f>calcCodes(3,"HOLSCAN",E13,E14) + calcCodes(4,"HOLSCAN",E15,E16) + calcCodes(5,"HOLSCAN",E17,E18)</f>
        <v>0</v>
      </c>
      <c r="M18" s="55"/>
      <c r="N18" s="73">
        <f>calcCodes(4,"HSHPAY",E15,E16)+calcCodes(5,"HSHPAY",E17,E18)</f>
        <v>0</v>
      </c>
      <c r="P18" s="65"/>
      <c r="Q18" s="66"/>
      <c r="R18" s="61"/>
      <c r="S18" s="63"/>
      <c r="T18" s="63"/>
    </row>
    <row r="19" spans="1:20" ht="13.5" thickBot="1" x14ac:dyDescent="0.25">
      <c r="A19" s="63"/>
      <c r="B19" s="85"/>
      <c r="C19" s="85"/>
      <c r="D19" s="104"/>
      <c r="E19" s="105"/>
      <c r="G19" s="59"/>
      <c r="H19" s="60"/>
      <c r="J19" s="82"/>
      <c r="K19" s="60"/>
      <c r="M19" s="59"/>
      <c r="N19" s="89">
        <f>calcCodes(3,"HSHUPG",E13,E14)+calcCodes(4,"HSHUPG",E15,E16)+calcCodes(5,"HSHUPG",E17,E18)</f>
        <v>0</v>
      </c>
      <c r="P19" s="67"/>
      <c r="Q19" s="68"/>
      <c r="R19" s="61"/>
      <c r="S19" s="63"/>
      <c r="T19" s="63"/>
    </row>
    <row r="20" spans="1:20" ht="13.5" thickTop="1" x14ac:dyDescent="0.2">
      <c r="A20" s="63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3"/>
      <c r="T20" s="63"/>
    </row>
    <row r="21" spans="1:20" ht="267.75" customHeight="1" x14ac:dyDescent="0.2">
      <c r="A21" s="63"/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</row>
    <row r="22" spans="1:20" ht="267.75" customHeight="1" x14ac:dyDescent="0.2">
      <c r="A22" s="63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</row>
    <row r="23" spans="1:20" ht="267.75" customHeight="1" x14ac:dyDescent="0.2">
      <c r="A23" s="63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</row>
    <row r="24" spans="1:20" ht="267.75" customHeight="1" x14ac:dyDescent="0.2">
      <c r="A24" s="63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</row>
    <row r="25" spans="1:20" ht="267.75" customHeight="1" x14ac:dyDescent="0.2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</row>
    <row r="26" spans="1:20" ht="267.75" customHeight="1" x14ac:dyDescent="0.2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</row>
    <row r="27" spans="1:20" ht="267.75" customHeight="1" x14ac:dyDescent="0.2"/>
    <row r="28" spans="1:20" ht="267.75" customHeight="1" x14ac:dyDescent="0.2"/>
    <row r="29" spans="1:20" ht="267.75" customHeight="1" x14ac:dyDescent="0.2"/>
    <row r="30" spans="1:20" ht="267.75" customHeight="1" x14ac:dyDescent="0.2"/>
    <row r="31" spans="1:20" ht="267.75" customHeight="1" x14ac:dyDescent="0.2"/>
    <row r="32" spans="1:20" ht="267.75" customHeight="1" x14ac:dyDescent="0.2"/>
    <row r="33" ht="267.75" customHeight="1" x14ac:dyDescent="0.2"/>
    <row r="34" ht="267.75" customHeight="1" x14ac:dyDescent="0.2"/>
    <row r="35" ht="267.75" customHeight="1" x14ac:dyDescent="0.2"/>
  </sheetData>
  <mergeCells count="11">
    <mergeCell ref="J16:K16"/>
    <mergeCell ref="D12:E12"/>
    <mergeCell ref="D5:E5"/>
    <mergeCell ref="G5:H5"/>
    <mergeCell ref="J5:K5"/>
    <mergeCell ref="M5:N5"/>
    <mergeCell ref="P5:Q5"/>
    <mergeCell ref="G11:H11"/>
    <mergeCell ref="J11:K11"/>
    <mergeCell ref="M11:N11"/>
    <mergeCell ref="P11:Q1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40CC7-3BE8-4C2B-99AD-68006B55DDDB}">
  <sheetPr codeName="shytsummary4">
    <tabColor rgb="FFFF0000"/>
  </sheetPr>
  <dimension ref="A1:T35"/>
  <sheetViews>
    <sheetView showGridLines="0" zoomScaleNormal="100" workbookViewId="0">
      <selection activeCell="J6" sqref="J6:J10"/>
    </sheetView>
  </sheetViews>
  <sheetFormatPr defaultColWidth="8.85546875" defaultRowHeight="12.75" x14ac:dyDescent="0.2"/>
  <cols>
    <col min="1" max="1" width="1.28515625" customWidth="1"/>
    <col min="2" max="2" width="2.42578125" customWidth="1"/>
    <col min="3" max="3" width="1.7109375" customWidth="1"/>
    <col min="4" max="4" width="17.7109375" customWidth="1"/>
    <col min="5" max="5" width="13.7109375" style="54" customWidth="1"/>
    <col min="6" max="6" width="1.7109375" customWidth="1"/>
    <col min="7" max="7" width="17.7109375" customWidth="1"/>
    <col min="8" max="8" width="13.7109375" customWidth="1"/>
    <col min="9" max="9" width="1.7109375" customWidth="1"/>
    <col min="10" max="10" width="17.7109375" customWidth="1"/>
    <col min="11" max="11" width="13.7109375" customWidth="1"/>
    <col min="12" max="12" width="1.7109375" customWidth="1"/>
    <col min="13" max="13" width="20.7109375" customWidth="1"/>
    <col min="14" max="14" width="13.7109375" customWidth="1"/>
    <col min="15" max="15" width="1.7109375" customWidth="1"/>
    <col min="16" max="16" width="20.7109375" customWidth="1"/>
    <col min="17" max="17" width="13.7109375" customWidth="1"/>
    <col min="18" max="18" width="1.7109375" customWidth="1"/>
    <col min="19" max="19" width="58.7109375" customWidth="1"/>
    <col min="20" max="20" width="49.7109375" customWidth="1"/>
  </cols>
  <sheetData>
    <row r="1" spans="1:20" ht="3.75" customHeight="1" x14ac:dyDescent="0.2">
      <c r="A1" s="63"/>
      <c r="B1" s="63"/>
      <c r="C1" s="63"/>
      <c r="D1" s="63"/>
      <c r="E1" s="64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</row>
    <row r="2" spans="1:20" ht="3.75" customHeight="1" x14ac:dyDescent="0.2">
      <c r="A2" s="63"/>
      <c r="B2" s="63"/>
      <c r="C2" s="63"/>
      <c r="D2" s="63"/>
      <c r="E2" s="64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</row>
    <row r="3" spans="1:20" x14ac:dyDescent="0.2">
      <c r="A3" s="63"/>
      <c r="B3" s="63"/>
      <c r="C3" s="63"/>
      <c r="D3" s="63"/>
      <c r="E3" s="64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</row>
    <row r="4" spans="1:20" ht="10.5" customHeight="1" thickBot="1" x14ac:dyDescent="0.25">
      <c r="A4" s="63"/>
      <c r="B4" s="61"/>
      <c r="C4" s="61"/>
      <c r="D4" s="61"/>
      <c r="E4" s="62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3"/>
      <c r="T4" s="63"/>
    </row>
    <row r="5" spans="1:20" ht="15.75" thickTop="1" x14ac:dyDescent="0.25">
      <c r="A5" s="63"/>
      <c r="B5" s="84"/>
      <c r="C5" s="85"/>
      <c r="D5" s="150" t="s">
        <v>14</v>
      </c>
      <c r="E5" s="151"/>
      <c r="G5" s="142" t="s">
        <v>0</v>
      </c>
      <c r="H5" s="143"/>
      <c r="J5" s="142" t="s">
        <v>4</v>
      </c>
      <c r="K5" s="143"/>
      <c r="M5" s="142" t="s">
        <v>52</v>
      </c>
      <c r="N5" s="143"/>
      <c r="P5" s="142" t="s">
        <v>34</v>
      </c>
      <c r="Q5" s="143"/>
      <c r="R5" s="61"/>
      <c r="S5" s="63"/>
      <c r="T5" s="63"/>
    </row>
    <row r="6" spans="1:20" x14ac:dyDescent="0.2">
      <c r="A6" s="63"/>
      <c r="B6" s="86"/>
      <c r="C6" s="85"/>
      <c r="D6" s="55" t="s">
        <v>7</v>
      </c>
      <c r="E6" s="73">
        <f>calcCodes(4,"DLXALI",E15,E16) + calcCodes(5,"DLXALI",E17,E18)</f>
        <v>0</v>
      </c>
      <c r="G6" s="55" t="str">
        <f>TSy!G6</f>
        <v>Contents (NRMA)</v>
      </c>
      <c r="H6" s="73">
        <f>calcCodes(3,"INSUHOM",E13,E14) + calcCodes(4,"INSUHOM",E15,E16)</f>
        <v>0</v>
      </c>
      <c r="J6" s="55" t="str">
        <f>TSy!J6</f>
        <v>Petrol</v>
      </c>
      <c r="K6" s="73">
        <f>calcCodes(4,"OTHTRF",E15,E16) + calcCodes(5,"OTHTRF",E17,E18)</f>
        <v>0</v>
      </c>
      <c r="M6" s="55" t="s">
        <v>45</v>
      </c>
      <c r="N6" s="73">
        <f>calcCodes(3,"HSHPHO",E13,E14) + calcCodes(4,"HSHPHO",E15,E16) + calcCodes(5,"HSHPHO",E17,E18)</f>
        <v>0</v>
      </c>
      <c r="P6" s="55" t="s">
        <v>132</v>
      </c>
      <c r="Q6" s="73">
        <f>calcCodes(3,"BKFEECH",E13,E14) + calcCodes(4,"BKFEECH",E15,E16) + calcCodes(5,"BKFEECH",E17,E18)</f>
        <v>0</v>
      </c>
      <c r="R6" s="61"/>
      <c r="S6" s="63"/>
      <c r="T6" s="63"/>
    </row>
    <row r="7" spans="1:20" x14ac:dyDescent="0.2">
      <c r="A7" s="63"/>
      <c r="B7" s="86"/>
      <c r="C7" s="85"/>
      <c r="D7" s="57" t="s">
        <v>11</v>
      </c>
      <c r="E7" s="74">
        <f>calcCodes(4,"DLXDIN",E15,E16) + calcCodes(5,"DLXDIN",E17,E18)</f>
        <v>0</v>
      </c>
      <c r="G7" s="57" t="str">
        <f>TSy!G7</f>
        <v>Auto (NRMA)</v>
      </c>
      <c r="H7" s="74">
        <f>calcCodes(3,"INSUMOT",E13,E14) + calcCodes(4,"INSUMOT",E15,E16)</f>
        <v>0</v>
      </c>
      <c r="J7" s="57" t="str">
        <f>TSy!J7</f>
        <v>Service</v>
      </c>
      <c r="K7" s="74">
        <f>calcCodes(3,"OTHTRM",E13,E14) + calcCodes(4,"OTHTRM",E15,E16) + calcCodes(5,"OTHTRM",E17,E18)</f>
        <v>0</v>
      </c>
      <c r="M7" s="57" t="s">
        <v>17</v>
      </c>
      <c r="N7" s="74">
        <f>calcCodes(3,"HSHITX",E13,E14) + calcCodes(4,"HSHITX",E15,E16) + calcCodes(5,"HSHITX",E17,E18)</f>
        <v>0</v>
      </c>
      <c r="P7" s="57"/>
      <c r="Q7" s="74"/>
      <c r="R7" s="61"/>
      <c r="S7" s="63"/>
      <c r="T7" s="63"/>
    </row>
    <row r="8" spans="1:20" x14ac:dyDescent="0.2">
      <c r="A8" s="63"/>
      <c r="B8" s="85"/>
      <c r="C8" s="85"/>
      <c r="D8" s="55" t="s">
        <v>13</v>
      </c>
      <c r="E8" s="73">
        <f>calcCodes(4,"DLXALC",E15,E16) + calcCodes(5,"DLXALC",E17,E18)</f>
        <v>0</v>
      </c>
      <c r="G8" s="55" t="str">
        <f>TSy!G8</f>
        <v>RACQ</v>
      </c>
      <c r="H8" s="73">
        <f>calcCodes(3,"INSUHLO",E13,E14) + calcCodes(4,"INSUHLO",E15,E16)</f>
        <v>0</v>
      </c>
      <c r="J8" s="55" t="str">
        <f>TSy!J8</f>
        <v>Parking</v>
      </c>
      <c r="K8" s="73">
        <f>calcCodes(4,"OTHTRP",E15,E16) + calcCodes(5,"OTHTRP",E17,E18)</f>
        <v>0</v>
      </c>
      <c r="M8" s="55" t="s">
        <v>50</v>
      </c>
      <c r="N8" s="73">
        <f>calcCodes(3,"HSHUTI",E13,E14) + calcCodes(4,"HSHUTI",E15,E16) + calcCodes(5,"HSHUTI",E17,E18)</f>
        <v>0</v>
      </c>
      <c r="P8" s="55"/>
      <c r="Q8" s="83"/>
      <c r="R8" s="61"/>
      <c r="S8" s="63"/>
      <c r="T8" s="63"/>
    </row>
    <row r="9" spans="1:20" x14ac:dyDescent="0.2">
      <c r="A9" s="63"/>
      <c r="B9" s="85"/>
      <c r="C9" s="85"/>
      <c r="D9" s="57" t="s">
        <v>16</v>
      </c>
      <c r="E9" s="74">
        <f>calcCodes(4,"DLXENT",E15,E16)</f>
        <v>0</v>
      </c>
      <c r="G9" s="57"/>
      <c r="H9" s="58"/>
      <c r="J9" s="57" t="str">
        <f>TSy!J9</f>
        <v>Public Transp</v>
      </c>
      <c r="K9" s="74">
        <f>calcCodes(3,"OTHTRT",E13,E14) + calcCodes(4,"OTHTRT",E15,E16) + calcCodes(5,"OTHTRT",E17,E18)</f>
        <v>0</v>
      </c>
      <c r="M9" s="57" t="s">
        <v>51</v>
      </c>
      <c r="N9" s="74">
        <f>calcCodes(3,"HSHLGL",E13,E14) + calcCodes(4,"HSHLGL",E15,E16) + calcCodes(5,"HSHLGL",E17,E18)</f>
        <v>0</v>
      </c>
      <c r="P9" s="57"/>
      <c r="Q9" s="74"/>
      <c r="R9" s="61"/>
      <c r="S9" s="63"/>
      <c r="T9" s="63"/>
    </row>
    <row r="10" spans="1:20" ht="13.5" thickBot="1" x14ac:dyDescent="0.25">
      <c r="A10" s="63"/>
      <c r="B10" s="85"/>
      <c r="C10" s="85"/>
      <c r="D10" s="55" t="s">
        <v>9</v>
      </c>
      <c r="E10" s="73">
        <f>calcCodes(4,"DLXHAI",E15,E16)</f>
        <v>0</v>
      </c>
      <c r="G10" s="55"/>
      <c r="H10" s="88">
        <f>SUM(H6:H9)</f>
        <v>0</v>
      </c>
      <c r="J10" s="55" t="str">
        <f>TSy!J10</f>
        <v>Rego &amp; Fines</v>
      </c>
      <c r="K10" s="73">
        <f>calcCodes(3,"OTHTRR",E13,E14) + calcCodes(4,"OTHTRR",E15,E16) + calcCodes(5,"OTHTRR",E17,E18)</f>
        <v>0</v>
      </c>
      <c r="M10" s="80"/>
      <c r="N10" s="81"/>
      <c r="P10" s="80"/>
      <c r="Q10" s="81"/>
      <c r="R10" s="61"/>
      <c r="S10" s="63"/>
      <c r="T10" s="63"/>
    </row>
    <row r="11" spans="1:20" ht="13.5" thickTop="1" x14ac:dyDescent="0.2">
      <c r="A11" s="63"/>
      <c r="B11" s="85"/>
      <c r="C11" s="85"/>
      <c r="D11" s="57" t="s">
        <v>18</v>
      </c>
      <c r="E11" s="74">
        <f>calcCodes(4,"HSHUNK",E15,E16)</f>
        <v>0</v>
      </c>
      <c r="G11" s="144" t="s">
        <v>5</v>
      </c>
      <c r="H11" s="145"/>
      <c r="J11" s="142" t="s">
        <v>127</v>
      </c>
      <c r="K11" s="143"/>
      <c r="M11" s="144" t="s">
        <v>35</v>
      </c>
      <c r="N11" s="145"/>
      <c r="P11" s="146" t="s">
        <v>42</v>
      </c>
      <c r="Q11" s="147"/>
      <c r="R11" s="61"/>
      <c r="S11" s="63"/>
      <c r="T11" s="63"/>
    </row>
    <row r="12" spans="1:20" x14ac:dyDescent="0.2">
      <c r="A12" s="63"/>
      <c r="B12" s="85"/>
      <c r="C12" s="85"/>
      <c r="D12" s="148" t="s">
        <v>64</v>
      </c>
      <c r="E12" s="149"/>
      <c r="G12" s="55" t="s">
        <v>38</v>
      </c>
      <c r="H12" s="73">
        <f>calcCodes(3,"HSHMED",E13,E14) + calcCodes(4,"HSHMED",E15,E16) + calcCodes(5,"HSHMED",E17,E18)</f>
        <v>0</v>
      </c>
      <c r="J12" s="55" t="s">
        <v>44</v>
      </c>
      <c r="K12" s="73">
        <f>calcCodes(3,"HSHMAI",E13,E14) + calcCodes(4,"HSHMAI",E15,E16) + calcCodes(5,"HSHMAI",E17,E18)</f>
        <v>0</v>
      </c>
      <c r="M12" s="55" t="s">
        <v>65</v>
      </c>
      <c r="N12" s="73">
        <f>calcCodes(3,"OTHGFF",E13,E14) + calcCodes(4,"OTHGFF",E15,E16) + calcCodes(5,"OTHGFT",E17,E18)</f>
        <v>0</v>
      </c>
      <c r="P12" s="65" t="str">
        <f>TSy!P12</f>
        <v>Income-A</v>
      </c>
      <c r="Q12" s="66">
        <f>calcCodes(5,"REVUSSS",E17,E18)</f>
        <v>0</v>
      </c>
      <c r="R12" s="61"/>
      <c r="S12" s="63"/>
      <c r="T12" s="63"/>
    </row>
    <row r="13" spans="1:20" x14ac:dyDescent="0.2">
      <c r="A13" s="63"/>
      <c r="B13" s="85"/>
      <c r="C13" s="85"/>
      <c r="D13" s="103" t="s">
        <v>62</v>
      </c>
      <c r="E13" s="106">
        <v>173</v>
      </c>
      <c r="G13" s="57" t="s">
        <v>39</v>
      </c>
      <c r="H13" s="74">
        <f>calcCodes(3,"HSHMDA",E13,E14) + calcCodes(4,"HSHMDA",E15,E16) + calcCodes(5,"HSHMDA",E17,E18)</f>
        <v>0</v>
      </c>
      <c r="J13" s="57" t="s">
        <v>128</v>
      </c>
      <c r="K13" s="74">
        <f>calcCodes(3,"HSHOTH",E13,E14) + calcCodes(4,"HSHOTH",E15,E16) + calcCodes(5,"HSHOTH",E17,E18)</f>
        <v>0</v>
      </c>
      <c r="M13" s="57" t="s">
        <v>6</v>
      </c>
      <c r="N13" s="74">
        <f>calcCodes(3,"OTHDON",E13,E14) + calcCodes(4,"OTHDON",E15,E16) + calcCodes(5,"OTHDON",E17,E18)</f>
        <v>0</v>
      </c>
      <c r="P13" s="67" t="str">
        <f>TSy!P13</f>
        <v>Income-B</v>
      </c>
      <c r="Q13" s="68">
        <f>calcCodes(5,"REVUSSJ",E17,E18)</f>
        <v>0</v>
      </c>
      <c r="R13" s="61"/>
      <c r="S13" s="63"/>
      <c r="T13" s="63"/>
    </row>
    <row r="14" spans="1:20" ht="13.5" thickBot="1" x14ac:dyDescent="0.25">
      <c r="A14" s="63"/>
      <c r="B14" s="85"/>
      <c r="C14" s="85"/>
      <c r="D14" s="103" t="s">
        <v>63</v>
      </c>
      <c r="E14" s="106">
        <v>236</v>
      </c>
      <c r="G14" s="55"/>
      <c r="H14" s="73"/>
      <c r="J14" s="55" t="s">
        <v>43</v>
      </c>
      <c r="K14" s="73">
        <f>calcCodes(3,"HSHFUR",E13,E14) + calcCodes(4,"HSHFUR",E15,E16) + calcCodes(5,"HSHFUR",E17,E18)</f>
        <v>0</v>
      </c>
      <c r="M14" s="55" t="s">
        <v>48</v>
      </c>
      <c r="N14" s="73">
        <f>calcCodes(3,"OTHHOR",E13,E14) + calcCodes(4,"OTHHOR",E15,E16) + calcCodes(5,"OTHHOR",E17,E18)</f>
        <v>0</v>
      </c>
      <c r="P14" s="107" t="str">
        <f>TSy!P14</f>
        <v>Income-C</v>
      </c>
      <c r="Q14" s="108">
        <f>calcCodes(3,"REVAUPN",E13,E14)</f>
        <v>0</v>
      </c>
      <c r="R14" s="61"/>
      <c r="S14" s="63"/>
      <c r="T14" s="63"/>
    </row>
    <row r="15" spans="1:20" ht="14.25" thickTop="1" thickBot="1" x14ac:dyDescent="0.25">
      <c r="A15" s="63"/>
      <c r="B15" s="85"/>
      <c r="C15" s="85"/>
      <c r="D15" s="103" t="s">
        <v>60</v>
      </c>
      <c r="E15" s="106">
        <v>708</v>
      </c>
      <c r="G15" s="57"/>
      <c r="H15" s="74"/>
      <c r="J15" s="59" t="s">
        <v>44</v>
      </c>
      <c r="K15" s="89">
        <f>calcCodes(3,"HSHMAI",E13,E14) + calcCodes(4,"HSHMAI",E15,E16) + calcCodes(5,"HSHMAI",E17,E18)</f>
        <v>0</v>
      </c>
      <c r="M15" s="57" t="s">
        <v>49</v>
      </c>
      <c r="N15" s="74">
        <f>calcCodes(3,"OTHHOJ",E13,E14) + calcCodes(4,"OTHHOJ",E15,E16) + calcCodes(5,"OTHHOJ",E17,E18)</f>
        <v>0</v>
      </c>
      <c r="P15" s="67" t="str">
        <f>TSy!P15</f>
        <v>Other</v>
      </c>
      <c r="Q15" s="68">
        <f>calcCodes(5,"BKTFINGP",E17,E18)</f>
        <v>0</v>
      </c>
      <c r="R15" s="61"/>
      <c r="S15" s="63"/>
      <c r="T15" s="63"/>
    </row>
    <row r="16" spans="1:20" ht="13.5" thickTop="1" x14ac:dyDescent="0.2">
      <c r="A16" s="63"/>
      <c r="B16" s="85"/>
      <c r="C16" s="85"/>
      <c r="D16" s="103" t="s">
        <v>61</v>
      </c>
      <c r="E16" s="106">
        <v>984</v>
      </c>
      <c r="G16" s="55"/>
      <c r="H16" s="73"/>
      <c r="J16" s="142" t="s">
        <v>129</v>
      </c>
      <c r="K16" s="143"/>
      <c r="M16" s="55"/>
      <c r="N16" s="73"/>
      <c r="P16" s="65" t="str">
        <f>TSy!P16</f>
        <v>Retirement TopUp</v>
      </c>
      <c r="Q16" s="66">
        <f>calcCodes(3,"REVAUSR",E13,E14) + calcCodes(4,"REVAUSR",E15,E16) + calcCodes(5,"REVAUSR",E17,E18)</f>
        <v>0</v>
      </c>
      <c r="R16" s="61"/>
      <c r="S16" s="63"/>
      <c r="T16" s="63"/>
    </row>
    <row r="17" spans="1:20" ht="13.5" thickBot="1" x14ac:dyDescent="0.25">
      <c r="A17" s="63"/>
      <c r="B17" s="85"/>
      <c r="C17" s="85"/>
      <c r="D17" s="103" t="s">
        <v>58</v>
      </c>
      <c r="E17" s="106">
        <v>197</v>
      </c>
      <c r="G17" s="57"/>
      <c r="H17" s="74"/>
      <c r="J17" s="57" t="s">
        <v>130</v>
      </c>
      <c r="K17" s="74">
        <f>calcCodes(3,"HOLSOZL",E13,E14) + calcCodes(4,"HOLSOZL",E15,E16) + calcCodes(5,"HOLSOZL",E17,E18)</f>
        <v>0</v>
      </c>
      <c r="M17" s="59"/>
      <c r="N17" s="89"/>
      <c r="P17" s="67" t="str">
        <f>TSy!P17</f>
        <v>Refunds-Loan Repay</v>
      </c>
      <c r="Q17" s="68">
        <f>calcCodes(3,"REVLPR",E13,E14) + calcCodes(4,"REVREF",E15,E16) + calcCodes(5,"REVLPR",E17,E18)</f>
        <v>0</v>
      </c>
      <c r="R17" s="61"/>
      <c r="S17" s="63"/>
      <c r="T17" s="63"/>
    </row>
    <row r="18" spans="1:20" ht="13.5" thickTop="1" x14ac:dyDescent="0.2">
      <c r="A18" s="63"/>
      <c r="B18" s="85"/>
      <c r="C18" s="85"/>
      <c r="D18" s="103" t="s">
        <v>59</v>
      </c>
      <c r="E18" s="106">
        <v>261</v>
      </c>
      <c r="G18" s="55"/>
      <c r="H18" s="56"/>
      <c r="J18" s="55" t="s">
        <v>131</v>
      </c>
      <c r="K18" s="73">
        <f>calcCodes(3,"HOLSCAN",E13,E14) + calcCodes(4,"HOLSCAN",E15,E16) + calcCodes(5,"HOLSCAN",E17,E18)</f>
        <v>0</v>
      </c>
      <c r="M18" s="55"/>
      <c r="N18" s="73">
        <f>calcCodes(4,"HSHPAY",E15,E16)+calcCodes(5,"HSHPAY",E17,E18)</f>
        <v>0</v>
      </c>
      <c r="P18" s="65"/>
      <c r="Q18" s="66"/>
      <c r="R18" s="61"/>
      <c r="S18" s="63"/>
      <c r="T18" s="63"/>
    </row>
    <row r="19" spans="1:20" ht="13.5" thickBot="1" x14ac:dyDescent="0.25">
      <c r="A19" s="63"/>
      <c r="B19" s="85"/>
      <c r="C19" s="85"/>
      <c r="D19" s="104"/>
      <c r="E19" s="105"/>
      <c r="G19" s="59"/>
      <c r="H19" s="60"/>
      <c r="J19" s="82"/>
      <c r="K19" s="60"/>
      <c r="M19" s="59"/>
      <c r="N19" s="89">
        <f>calcCodes(3,"HSHUPG",E13,E14)+calcCodes(4,"HSHUPG",E15,E16)+calcCodes(5,"HSHUPG",E17,E18)</f>
        <v>0</v>
      </c>
      <c r="P19" s="67"/>
      <c r="Q19" s="68"/>
      <c r="R19" s="61"/>
      <c r="S19" s="63"/>
      <c r="T19" s="63"/>
    </row>
    <row r="20" spans="1:20" ht="13.5" thickTop="1" x14ac:dyDescent="0.2">
      <c r="A20" s="63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3"/>
      <c r="T20" s="63"/>
    </row>
    <row r="21" spans="1:20" ht="267.75" customHeight="1" x14ac:dyDescent="0.2">
      <c r="A21" s="63"/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</row>
    <row r="22" spans="1:20" ht="267.75" customHeight="1" x14ac:dyDescent="0.2">
      <c r="A22" s="63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</row>
    <row r="23" spans="1:20" ht="267.75" customHeight="1" x14ac:dyDescent="0.2">
      <c r="A23" s="63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</row>
    <row r="24" spans="1:20" ht="267.75" customHeight="1" x14ac:dyDescent="0.2">
      <c r="A24" s="63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</row>
    <row r="25" spans="1:20" ht="267.75" customHeight="1" x14ac:dyDescent="0.2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</row>
    <row r="26" spans="1:20" ht="267.75" customHeight="1" x14ac:dyDescent="0.2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</row>
    <row r="27" spans="1:20" ht="267.75" customHeight="1" x14ac:dyDescent="0.2"/>
    <row r="28" spans="1:20" ht="267.75" customHeight="1" x14ac:dyDescent="0.2"/>
    <row r="29" spans="1:20" ht="267.75" customHeight="1" x14ac:dyDescent="0.2"/>
    <row r="30" spans="1:20" ht="267.75" customHeight="1" x14ac:dyDescent="0.2"/>
    <row r="31" spans="1:20" ht="267.75" customHeight="1" x14ac:dyDescent="0.2"/>
    <row r="32" spans="1:20" ht="267.75" customHeight="1" x14ac:dyDescent="0.2"/>
    <row r="33" ht="267.75" customHeight="1" x14ac:dyDescent="0.2"/>
    <row r="34" ht="267.75" customHeight="1" x14ac:dyDescent="0.2"/>
    <row r="35" ht="267.75" customHeight="1" x14ac:dyDescent="0.2"/>
  </sheetData>
  <mergeCells count="11">
    <mergeCell ref="J16:K16"/>
    <mergeCell ref="D12:E12"/>
    <mergeCell ref="D5:E5"/>
    <mergeCell ref="G5:H5"/>
    <mergeCell ref="J5:K5"/>
    <mergeCell ref="M5:N5"/>
    <mergeCell ref="P5:Q5"/>
    <mergeCell ref="G11:H11"/>
    <mergeCell ref="J11:K11"/>
    <mergeCell ref="M11:N11"/>
    <mergeCell ref="P11:Q1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08DAF-63EA-4887-B553-A32C5883F353}">
  <sheetPr codeName="shzbudget1">
    <tabColor theme="4" tint="-0.499984740745262"/>
  </sheetPr>
  <dimension ref="A1:AB90"/>
  <sheetViews>
    <sheetView showGridLines="0" zoomScaleNormal="100" workbookViewId="0">
      <selection activeCell="I21" sqref="I21"/>
    </sheetView>
  </sheetViews>
  <sheetFormatPr defaultColWidth="8.42578125" defaultRowHeight="20.25" x14ac:dyDescent="0.3"/>
  <cols>
    <col min="1" max="1" width="4.85546875" customWidth="1"/>
    <col min="2" max="2" width="2.28515625" customWidth="1"/>
    <col min="3" max="3" width="27.85546875" customWidth="1"/>
    <col min="4" max="4" width="12.7109375" style="1" customWidth="1"/>
    <col min="5" max="5" width="1.28515625" style="2" customWidth="1"/>
    <col min="6" max="6" width="3.28515625" customWidth="1"/>
    <col min="7" max="7" width="1.7109375" customWidth="1"/>
    <col min="8" max="8" width="22.42578125" customWidth="1"/>
    <col min="9" max="9" width="12.7109375" customWidth="1"/>
    <col min="10" max="10" width="1.140625" customWidth="1"/>
    <col min="11" max="11" width="3.7109375" customWidth="1"/>
    <col min="12" max="12" width="2.85546875" customWidth="1"/>
    <col min="13" max="13" width="26.140625" customWidth="1"/>
    <col min="14" max="14" width="14.42578125" style="54" customWidth="1"/>
    <col min="15" max="15" width="3.42578125" customWidth="1"/>
    <col min="17" max="17" width="98.85546875" customWidth="1"/>
  </cols>
  <sheetData>
    <row r="1" spans="1:28" ht="13.5" thickBo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 ht="21" customHeight="1" thickTop="1" x14ac:dyDescent="0.25">
      <c r="A2" s="3"/>
      <c r="B2" s="153" t="str">
        <f>"Expenses Q1"</f>
        <v>Expenses Q1</v>
      </c>
      <c r="C2" s="154"/>
      <c r="D2" s="154"/>
      <c r="E2" s="155"/>
      <c r="F2" s="43"/>
      <c r="G2" s="156" t="str">
        <f>"Revenue Q1"</f>
        <v>Revenue Q1</v>
      </c>
      <c r="H2" s="157"/>
      <c r="I2" s="157"/>
      <c r="J2" s="158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28" ht="13.5" customHeight="1" x14ac:dyDescent="0.3">
      <c r="A3" s="3"/>
      <c r="B3" s="9"/>
      <c r="C3" s="41" t="str">
        <f>'Qtr1'!D6</f>
        <v>Groceries</v>
      </c>
      <c r="D3" s="69">
        <f>'Qtr1'!E6</f>
        <v>0</v>
      </c>
      <c r="E3" s="8"/>
      <c r="F3" s="3"/>
      <c r="G3" s="28"/>
      <c r="H3" s="41" t="str">
        <f>'Qtr1'!P12</f>
        <v>Income-A</v>
      </c>
      <c r="I3" s="44">
        <f>'Qtr1'!Q12</f>
        <v>0</v>
      </c>
      <c r="J3" s="11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</row>
    <row r="4" spans="1:28" ht="13.5" customHeight="1" x14ac:dyDescent="0.3">
      <c r="A4" s="3"/>
      <c r="B4" s="9"/>
      <c r="C4" s="41" t="str">
        <f>'Qtr1'!D7</f>
        <v>Dining</v>
      </c>
      <c r="D4" s="69">
        <f>'Qtr1'!E7</f>
        <v>0</v>
      </c>
      <c r="E4" s="8"/>
      <c r="F4" s="3"/>
      <c r="G4" s="28"/>
      <c r="H4" s="41" t="str">
        <f>'Qtr1'!P13</f>
        <v>Income-B</v>
      </c>
      <c r="I4" s="44">
        <f>'Qtr1'!Q13</f>
        <v>0</v>
      </c>
      <c r="J4" s="11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</row>
    <row r="5" spans="1:28" ht="13.5" customHeight="1" x14ac:dyDescent="0.3">
      <c r="A5" s="3"/>
      <c r="B5" s="9"/>
      <c r="C5" s="41" t="str">
        <f>'Qtr1'!D8</f>
        <v>Alcohol</v>
      </c>
      <c r="D5" s="69">
        <f>'Qtr1'!E8</f>
        <v>0</v>
      </c>
      <c r="E5" s="8"/>
      <c r="F5" s="3"/>
      <c r="G5" s="28"/>
      <c r="H5" s="41" t="str">
        <f>'Qtr1'!P14</f>
        <v>Income-C</v>
      </c>
      <c r="I5" s="44">
        <f>'Qtr1'!Q14</f>
        <v>0</v>
      </c>
      <c r="J5" s="8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</row>
    <row r="6" spans="1:28" ht="13.5" customHeight="1" x14ac:dyDescent="0.2">
      <c r="A6" s="3"/>
      <c r="B6" s="9"/>
      <c r="C6" s="41" t="str">
        <f>'Qtr1'!D9</f>
        <v>Entertain</v>
      </c>
      <c r="D6" s="69">
        <f>'Qtr1'!E9</f>
        <v>0</v>
      </c>
      <c r="E6" s="8"/>
      <c r="F6" s="3"/>
      <c r="H6" s="41" t="str">
        <f>'Qtr1'!P15</f>
        <v>Other</v>
      </c>
      <c r="I6" s="44">
        <f>'Qtr1'!Q15</f>
        <v>0</v>
      </c>
      <c r="J6" s="8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28" ht="13.5" customHeight="1" x14ac:dyDescent="0.2">
      <c r="A7" s="3"/>
      <c r="B7" s="9"/>
      <c r="C7" s="41" t="str">
        <f>'Qtr1'!D10</f>
        <v>Hair-Nails</v>
      </c>
      <c r="D7" s="69">
        <f>'Qtr1'!E10</f>
        <v>0</v>
      </c>
      <c r="E7" s="8"/>
      <c r="F7" s="3"/>
      <c r="H7" s="41" t="str">
        <f>'Qtr1'!P16</f>
        <v>Retirement TopUp</v>
      </c>
      <c r="I7" s="44">
        <f>'Qtr1'!Q16</f>
        <v>0</v>
      </c>
      <c r="J7" s="8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spans="1:28" ht="13.5" customHeight="1" x14ac:dyDescent="0.2">
      <c r="A8" s="3"/>
      <c r="B8" s="9"/>
      <c r="C8" s="41" t="str">
        <f>'Qtr1'!D11</f>
        <v>Unknown</v>
      </c>
      <c r="D8" s="69">
        <f>'Qtr1'!E11</f>
        <v>0</v>
      </c>
      <c r="E8" s="8"/>
      <c r="F8" s="3"/>
      <c r="H8" s="41" t="str">
        <f>'Qtr1'!P17</f>
        <v>Refunds-Loan Repay</v>
      </c>
      <c r="I8" s="44">
        <f>'Qtr1'!Q17</f>
        <v>0</v>
      </c>
      <c r="J8" s="11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</row>
    <row r="9" spans="1:28" ht="13.5" customHeight="1" thickBot="1" x14ac:dyDescent="0.25">
      <c r="A9" s="3"/>
      <c r="B9" s="97" t="str">
        <f>'Qtr1'!D5</f>
        <v>Daily Living Expenses</v>
      </c>
      <c r="C9" s="95"/>
      <c r="D9" s="98">
        <f>SUM(D3:D8)</f>
        <v>0</v>
      </c>
      <c r="E9" s="96"/>
      <c r="F9" s="3"/>
      <c r="G9" s="7"/>
      <c r="H9" s="45" t="str">
        <f>"Totals :"</f>
        <v>Totals :</v>
      </c>
      <c r="I9" s="46">
        <f>SUM(I3:I7)</f>
        <v>0</v>
      </c>
      <c r="J9" s="12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</row>
    <row r="10" spans="1:28" ht="13.5" customHeight="1" thickTop="1" x14ac:dyDescent="0.2">
      <c r="A10" s="3"/>
      <c r="B10" s="9"/>
      <c r="C10" s="41" t="str">
        <f>'Qtr1'!J6</f>
        <v>Petrol</v>
      </c>
      <c r="D10" s="69">
        <f>'Qtr1'!K6</f>
        <v>0</v>
      </c>
      <c r="E10" s="8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</row>
    <row r="11" spans="1:28" ht="13.5" customHeight="1" x14ac:dyDescent="0.2">
      <c r="A11" s="3"/>
      <c r="B11" s="9"/>
      <c r="C11" s="41" t="str">
        <f>'Qtr1'!J10</f>
        <v>Rego &amp; Fines</v>
      </c>
      <c r="D11" s="69">
        <f>'Qtr1'!K10</f>
        <v>0</v>
      </c>
      <c r="E11" s="8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</row>
    <row r="12" spans="1:28" ht="13.5" customHeight="1" x14ac:dyDescent="0.2">
      <c r="A12" s="3"/>
      <c r="B12" s="9"/>
      <c r="C12" s="41" t="str">
        <f>'Qtr1'!J7</f>
        <v>Service</v>
      </c>
      <c r="D12" s="69">
        <f>'Qtr1'!K7</f>
        <v>0</v>
      </c>
      <c r="E12" s="8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</row>
    <row r="13" spans="1:28" ht="13.5" customHeight="1" x14ac:dyDescent="0.2">
      <c r="A13" s="3"/>
      <c r="B13" s="9"/>
      <c r="C13" s="41" t="str">
        <f>'Qtr1'!J9</f>
        <v>Public Transp</v>
      </c>
      <c r="D13" s="69">
        <f>'Qtr1'!K9</f>
        <v>0</v>
      </c>
      <c r="E13" s="10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</row>
    <row r="14" spans="1:28" ht="13.5" customHeight="1" thickBot="1" x14ac:dyDescent="0.25">
      <c r="A14" s="3"/>
      <c r="B14" s="9"/>
      <c r="C14" s="41" t="str">
        <f>'Qtr1'!J8</f>
        <v>Parking</v>
      </c>
      <c r="D14" s="69">
        <f>'Qtr1'!K8</f>
        <v>0</v>
      </c>
      <c r="E14" s="8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</row>
    <row r="15" spans="1:28" ht="13.5" customHeight="1" thickTop="1" x14ac:dyDescent="0.2">
      <c r="A15" s="3"/>
      <c r="B15" s="94" t="str">
        <f>'Qtr1'!J5</f>
        <v>Transport</v>
      </c>
      <c r="C15" s="95"/>
      <c r="D15" s="98">
        <f>SUM(D10:D14)</f>
        <v>0</v>
      </c>
      <c r="E15" s="96"/>
      <c r="F15" s="3"/>
      <c r="G15" s="161" t="str">
        <f>"Expenses"</f>
        <v>Expenses</v>
      </c>
      <c r="H15" s="161"/>
      <c r="I15" s="161"/>
      <c r="J15" s="162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</row>
    <row r="16" spans="1:28" ht="13.5" customHeight="1" x14ac:dyDescent="0.25">
      <c r="A16" s="3"/>
      <c r="B16" s="9"/>
      <c r="C16" s="41" t="str">
        <f>'Qtr1'!G6</f>
        <v>Contents (NRMA)</v>
      </c>
      <c r="D16" s="69">
        <f>'Qtr1'!H6</f>
        <v>0</v>
      </c>
      <c r="E16" s="10"/>
      <c r="F16" s="3"/>
      <c r="H16" s="13" t="str">
        <f>$B$9</f>
        <v>Daily Living Expenses</v>
      </c>
      <c r="I16" s="75">
        <f>D9</f>
        <v>0</v>
      </c>
      <c r="J16" s="29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</row>
    <row r="17" spans="1:28" ht="13.5" customHeight="1" x14ac:dyDescent="0.25">
      <c r="A17" s="3"/>
      <c r="B17" s="9"/>
      <c r="C17" s="41" t="str">
        <f>'Qtr1'!G7</f>
        <v>Auto (NRMA)</v>
      </c>
      <c r="D17" s="69">
        <f>'Qtr1'!H7</f>
        <v>0</v>
      </c>
      <c r="E17" s="8"/>
      <c r="F17" s="3"/>
      <c r="H17" s="13" t="str">
        <f>$B$15</f>
        <v>Transport</v>
      </c>
      <c r="I17" s="75">
        <f>D15</f>
        <v>0</v>
      </c>
      <c r="J17" s="29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</row>
    <row r="18" spans="1:28" ht="13.5" customHeight="1" x14ac:dyDescent="0.25">
      <c r="A18" s="3"/>
      <c r="B18" s="9"/>
      <c r="C18" s="41" t="str">
        <f>'Qtr1'!G8</f>
        <v>RACQ</v>
      </c>
      <c r="D18" s="69">
        <f>'Qtr1'!H8</f>
        <v>0</v>
      </c>
      <c r="E18" s="8"/>
      <c r="F18" s="3"/>
      <c r="H18" s="13" t="str">
        <f>$B$19</f>
        <v>Insurance</v>
      </c>
      <c r="I18" s="75">
        <f>D19</f>
        <v>0</v>
      </c>
      <c r="J18" s="29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</row>
    <row r="19" spans="1:28" ht="13.5" customHeight="1" x14ac:dyDescent="0.25">
      <c r="A19" s="3"/>
      <c r="B19" s="94" t="str">
        <f>'Qtr1'!G5</f>
        <v>Insurance</v>
      </c>
      <c r="C19" s="95"/>
      <c r="D19" s="98">
        <f>SUM(D16:D18)</f>
        <v>0</v>
      </c>
      <c r="E19" s="96"/>
      <c r="F19" s="3"/>
      <c r="H19" s="13" t="str">
        <f>$B$22</f>
        <v>Medical</v>
      </c>
      <c r="I19" s="75">
        <f>D22</f>
        <v>0</v>
      </c>
      <c r="J19" s="2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</row>
    <row r="20" spans="1:28" ht="13.5" customHeight="1" x14ac:dyDescent="0.25">
      <c r="A20" s="3"/>
      <c r="B20" s="9"/>
      <c r="C20" s="41" t="str">
        <f>'Qtr1'!G12</f>
        <v>Meds - Surgery</v>
      </c>
      <c r="D20" s="69">
        <f>'Qtr1'!H12</f>
        <v>0</v>
      </c>
      <c r="E20" s="8"/>
      <c r="F20" s="3"/>
      <c r="H20" s="13" t="str">
        <f>$B$27</f>
        <v>Utilities - Rates</v>
      </c>
      <c r="I20" s="75">
        <f>D27</f>
        <v>0</v>
      </c>
      <c r="J20" s="29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</row>
    <row r="21" spans="1:28" ht="13.5" customHeight="1" x14ac:dyDescent="0.25">
      <c r="A21" s="3"/>
      <c r="B21" s="9"/>
      <c r="C21" s="41" t="str">
        <f>'Qtr1'!G13</f>
        <v>Alt Medicine</v>
      </c>
      <c r="D21" s="69">
        <f>'Qtr1'!H13</f>
        <v>0</v>
      </c>
      <c r="E21" s="8"/>
      <c r="F21" s="3"/>
      <c r="H21" s="13" t="str">
        <f>$B$35</f>
        <v>Sundry</v>
      </c>
      <c r="I21" s="75">
        <f>D35</f>
        <v>0</v>
      </c>
      <c r="J21" s="29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</row>
    <row r="22" spans="1:28" ht="13.5" customHeight="1" thickBot="1" x14ac:dyDescent="0.25">
      <c r="A22" s="3"/>
      <c r="B22" s="94" t="str">
        <f>'Qtr1'!G11</f>
        <v>Medical</v>
      </c>
      <c r="C22" s="95"/>
      <c r="D22" s="98">
        <f>SUM(D20:D21)</f>
        <v>0</v>
      </c>
      <c r="E22" s="96"/>
      <c r="F22" s="3"/>
      <c r="G22" s="7"/>
      <c r="H22" s="45" t="str">
        <f>"Totals :"</f>
        <v>Totals :</v>
      </c>
      <c r="I22" s="99">
        <f>SUM(I16:I21)</f>
        <v>0</v>
      </c>
      <c r="J22" s="1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</row>
    <row r="23" spans="1:28" ht="13.5" customHeight="1" thickTop="1" x14ac:dyDescent="0.2">
      <c r="A23" s="3"/>
      <c r="B23" s="9"/>
      <c r="C23" s="41" t="str">
        <f>'Qtr1'!M6</f>
        <v>Phone-Internet</v>
      </c>
      <c r="D23" s="69">
        <f>'Qtr1'!N6</f>
        <v>0</v>
      </c>
      <c r="E23" s="8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</row>
    <row r="24" spans="1:28" ht="13.5" customHeight="1" x14ac:dyDescent="0.2">
      <c r="A24" s="3"/>
      <c r="B24" s="9"/>
      <c r="C24" s="41" t="str">
        <f>'Qtr1'!M7</f>
        <v>IT</v>
      </c>
      <c r="D24" s="69">
        <f>'Qtr1'!N7</f>
        <v>0</v>
      </c>
      <c r="E24" s="8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</row>
    <row r="25" spans="1:28" ht="13.5" customHeight="1" x14ac:dyDescent="0.2">
      <c r="A25" s="3"/>
      <c r="B25" s="9"/>
      <c r="C25" s="41" t="str">
        <f>'Qtr1'!M8</f>
        <v>Electricity</v>
      </c>
      <c r="D25" s="69">
        <f>'Qtr1'!N8</f>
        <v>0</v>
      </c>
      <c r="E25" s="8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</row>
    <row r="26" spans="1:28" ht="13.5" customHeight="1" x14ac:dyDescent="0.2">
      <c r="A26" s="3"/>
      <c r="B26" s="51"/>
      <c r="C26" s="41" t="str">
        <f>'Qtr1'!M9</f>
        <v>Rates</v>
      </c>
      <c r="D26" s="69">
        <f>'Qtr1'!N9</f>
        <v>0</v>
      </c>
      <c r="E26" s="8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</row>
    <row r="27" spans="1:28" ht="13.5" customHeight="1" x14ac:dyDescent="0.2">
      <c r="A27" s="3"/>
      <c r="B27" s="94" t="str">
        <f>'Qtr1'!M5</f>
        <v>Utilities - Rates</v>
      </c>
      <c r="C27" s="95"/>
      <c r="D27" s="98">
        <f>SUM(D23:D26)</f>
        <v>0</v>
      </c>
      <c r="E27" s="96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</row>
    <row r="28" spans="1:28" ht="13.5" customHeight="1" x14ac:dyDescent="0.2">
      <c r="A28" s="3"/>
      <c r="B28" s="9"/>
      <c r="C28" s="41" t="str">
        <f>'Qtr1'!M12</f>
        <v>Gifts</v>
      </c>
      <c r="D28" s="42">
        <f>'Qtr1'!N12</f>
        <v>0</v>
      </c>
      <c r="E28" s="8"/>
      <c r="F28" s="3"/>
      <c r="G28" s="3"/>
      <c r="H28" s="100" t="s">
        <v>53</v>
      </c>
      <c r="I28" s="90">
        <f>I9</f>
        <v>0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</row>
    <row r="29" spans="1:28" ht="13.5" customHeight="1" thickBot="1" x14ac:dyDescent="0.25">
      <c r="A29" s="3"/>
      <c r="B29" s="9"/>
      <c r="C29" s="41" t="str">
        <f>'Qtr1'!M13</f>
        <v>Donations</v>
      </c>
      <c r="D29" s="42">
        <f>'Qtr1'!N13</f>
        <v>0</v>
      </c>
      <c r="E29" s="8"/>
      <c r="F29" s="3"/>
      <c r="G29" s="3"/>
      <c r="H29" s="101" t="s">
        <v>54</v>
      </c>
      <c r="I29" s="93">
        <f>I22</f>
        <v>0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</row>
    <row r="30" spans="1:28" ht="13.5" customHeight="1" thickTop="1" x14ac:dyDescent="0.2">
      <c r="A30" s="3"/>
      <c r="B30" s="9"/>
      <c r="C30" s="41" t="str">
        <f>'Qtr1'!M14</f>
        <v>Rob's Hobbies</v>
      </c>
      <c r="D30" s="42">
        <f>'Qtr1'!N14</f>
        <v>0</v>
      </c>
      <c r="E30" s="8"/>
      <c r="F30" s="3"/>
      <c r="G30" s="3"/>
      <c r="H30" s="20" t="s">
        <v>55</v>
      </c>
      <c r="I30" s="90">
        <f>I28-I29</f>
        <v>0</v>
      </c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</row>
    <row r="31" spans="1:28" ht="13.5" customHeight="1" x14ac:dyDescent="0.2">
      <c r="A31" s="3"/>
      <c r="B31" s="9"/>
      <c r="C31" s="41" t="str">
        <f>'Qtr1'!M15</f>
        <v>Julia's Hobbies</v>
      </c>
      <c r="D31" s="42">
        <f>'Qtr1'!N15</f>
        <v>0</v>
      </c>
      <c r="E31" s="8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</row>
    <row r="32" spans="1:28" ht="13.5" customHeight="1" x14ac:dyDescent="0.2">
      <c r="A32" s="3"/>
      <c r="B32" s="51"/>
      <c r="C32" s="41" t="str">
        <f>'Qtr1'!J16</f>
        <v>Holidays</v>
      </c>
      <c r="D32" s="42">
        <f>'Qtr1'!K17+'Qtr1'!K18</f>
        <v>0</v>
      </c>
      <c r="E32" s="8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</row>
    <row r="33" spans="1:28" ht="13.5" customHeight="1" x14ac:dyDescent="0.3">
      <c r="A33" s="3"/>
      <c r="B33" s="9"/>
      <c r="E33" s="8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</row>
    <row r="34" spans="1:28" ht="13.5" customHeight="1" x14ac:dyDescent="0.3">
      <c r="A34" s="3"/>
      <c r="B34" s="9"/>
      <c r="E34" s="8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ht="13.5" customHeight="1" x14ac:dyDescent="0.2">
      <c r="A35" s="3"/>
      <c r="B35" s="94" t="str">
        <f>'Qtr1'!M11</f>
        <v>Sundry</v>
      </c>
      <c r="C35" s="95"/>
      <c r="D35" s="98">
        <f>SUM(D28:D33)</f>
        <v>0</v>
      </c>
      <c r="E35" s="9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</row>
    <row r="36" spans="1:28" ht="13.5" customHeight="1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</row>
    <row r="37" spans="1:28" ht="13.5" customHeight="1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</row>
    <row r="38" spans="1:28" ht="13.5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</row>
    <row r="39" spans="1:28" ht="13.5" customHeight="1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</row>
    <row r="40" spans="1:28" ht="13.5" customHeight="1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</row>
    <row r="41" spans="1:28" ht="13.5" customHeight="1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</row>
    <row r="42" spans="1:28" ht="13.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</row>
    <row r="43" spans="1:28" ht="13.5" customHeight="1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ht="13.5" customHeight="1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ht="12.75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ht="12.75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ht="12.75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ht="12.75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1:28" ht="12.75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1:28" ht="12.75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1:28" ht="12.75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1:28" ht="12.75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1:28" ht="12.75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1:28" ht="12.75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1:28" ht="12.75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1:28" ht="12.75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1:28" ht="12.75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</row>
    <row r="58" spans="1:28" ht="12.75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</row>
    <row r="59" spans="1:28" ht="12.75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</row>
    <row r="60" spans="1:28" ht="12.75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</row>
    <row r="61" spans="1:28" ht="12.75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</row>
    <row r="62" spans="1:28" ht="12.75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</row>
    <row r="63" spans="1:28" ht="12.75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</row>
    <row r="64" spans="1:28" ht="12.75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</row>
    <row r="65" spans="1:28" ht="12.75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</row>
    <row r="66" spans="1:28" ht="12.75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</row>
    <row r="67" spans="1:28" ht="12.75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</row>
    <row r="68" spans="1:28" ht="12.75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</row>
    <row r="69" spans="1:28" ht="12.75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</row>
    <row r="70" spans="1:28" ht="12.75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</row>
    <row r="71" spans="1:28" ht="12.75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</row>
    <row r="72" spans="1:28" ht="12.75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</row>
    <row r="73" spans="1:28" ht="12.75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</row>
    <row r="74" spans="1:28" ht="12.75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</row>
    <row r="75" spans="1:28" ht="12.75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</row>
    <row r="76" spans="1:28" ht="12.75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</row>
    <row r="77" spans="1:28" ht="12.75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</row>
    <row r="78" spans="1:28" ht="12.75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</row>
    <row r="79" spans="1:28" ht="12.75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</row>
    <row r="80" spans="1:28" ht="12.75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</row>
    <row r="81" spans="1:28" ht="12.75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</row>
    <row r="82" spans="1:28" ht="12.75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</row>
    <row r="83" spans="1:28" ht="12.75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</row>
    <row r="84" spans="1:28" ht="12.75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</row>
    <row r="85" spans="1:28" ht="12.75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</row>
    <row r="86" spans="1:28" ht="12.75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</row>
    <row r="87" spans="1:28" ht="12.75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</row>
    <row r="88" spans="1:28" ht="12.75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</row>
    <row r="89" spans="1:28" ht="12.75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</row>
    <row r="90" spans="1:28" ht="12.75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</row>
  </sheetData>
  <mergeCells count="3">
    <mergeCell ref="B2:E2"/>
    <mergeCell ref="G2:J2"/>
    <mergeCell ref="G15:J15"/>
  </mergeCells>
  <pageMargins left="0.74791666666666701" right="0.74791666666666701" top="0.98402777777777795" bottom="0.98402777777777795" header="0.51180555555555496" footer="0.51180555555555496"/>
  <pageSetup paperSize="9" firstPageNumber="0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F7A90-7E56-4D2A-9D29-C67A39C721D8}">
  <sheetPr codeName="shzbudget2">
    <tabColor theme="4" tint="-0.499984740745262"/>
  </sheetPr>
  <dimension ref="A1:AB90"/>
  <sheetViews>
    <sheetView showGridLines="0" zoomScaleNormal="100" workbookViewId="0">
      <selection activeCell="B37" sqref="B37:E38"/>
    </sheetView>
  </sheetViews>
  <sheetFormatPr defaultColWidth="8.42578125" defaultRowHeight="20.25" x14ac:dyDescent="0.3"/>
  <cols>
    <col min="1" max="1" width="4.85546875" customWidth="1"/>
    <col min="2" max="2" width="2.28515625" customWidth="1"/>
    <col min="3" max="3" width="27.85546875" customWidth="1"/>
    <col min="4" max="4" width="12.7109375" style="1" customWidth="1"/>
    <col min="5" max="5" width="1.28515625" style="2" customWidth="1"/>
    <col min="6" max="6" width="3.28515625" customWidth="1"/>
    <col min="7" max="7" width="1.7109375" customWidth="1"/>
    <col min="8" max="8" width="22.42578125" customWidth="1"/>
    <col min="9" max="9" width="12.7109375" customWidth="1"/>
    <col min="10" max="10" width="1.140625" customWidth="1"/>
    <col min="11" max="11" width="3.7109375" customWidth="1"/>
    <col min="12" max="12" width="2.85546875" customWidth="1"/>
    <col min="13" max="13" width="26.140625" customWidth="1"/>
    <col min="14" max="14" width="14.42578125" style="54" customWidth="1"/>
    <col min="15" max="15" width="3.42578125" customWidth="1"/>
    <col min="17" max="17" width="98.85546875" customWidth="1"/>
  </cols>
  <sheetData>
    <row r="1" spans="1:28" ht="13.5" thickBo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 ht="21" customHeight="1" thickTop="1" x14ac:dyDescent="0.25">
      <c r="A2" s="3"/>
      <c r="B2" s="153" t="str">
        <f>"Expenses Q2"</f>
        <v>Expenses Q2</v>
      </c>
      <c r="C2" s="154"/>
      <c r="D2" s="154"/>
      <c r="E2" s="155"/>
      <c r="F2" s="43"/>
      <c r="G2" s="156" t="str">
        <f>"Revenue Q2"</f>
        <v>Revenue Q2</v>
      </c>
      <c r="H2" s="157"/>
      <c r="I2" s="157"/>
      <c r="J2" s="158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28" ht="13.5" customHeight="1" x14ac:dyDescent="0.3">
      <c r="A3" s="3"/>
      <c r="B3" s="9"/>
      <c r="C3" s="41" t="str">
        <f>'Qtr2'!D6</f>
        <v>Groceries</v>
      </c>
      <c r="D3" s="69">
        <f>'Qtr2'!E6</f>
        <v>0</v>
      </c>
      <c r="E3" s="8"/>
      <c r="F3" s="3"/>
      <c r="G3" s="28"/>
      <c r="H3" s="41" t="str">
        <f>'Qtr1'!P12</f>
        <v>Income-A</v>
      </c>
      <c r="I3" s="44">
        <f>'Qtr2'!Q12</f>
        <v>0</v>
      </c>
      <c r="J3" s="11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</row>
    <row r="4" spans="1:28" ht="13.5" customHeight="1" x14ac:dyDescent="0.3">
      <c r="A4" s="3"/>
      <c r="B4" s="9"/>
      <c r="C4" s="41" t="str">
        <f>'Qtr2'!D7</f>
        <v>Dining</v>
      </c>
      <c r="D4" s="69">
        <f>'Qtr2'!E7</f>
        <v>0</v>
      </c>
      <c r="E4" s="8"/>
      <c r="F4" s="3"/>
      <c r="G4" s="28"/>
      <c r="H4" s="41" t="str">
        <f>'Qtr1'!P13</f>
        <v>Income-B</v>
      </c>
      <c r="I4" s="44">
        <f>'Qtr2'!Q13</f>
        <v>0</v>
      </c>
      <c r="J4" s="11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</row>
    <row r="5" spans="1:28" ht="13.5" customHeight="1" x14ac:dyDescent="0.3">
      <c r="A5" s="3"/>
      <c r="B5" s="9"/>
      <c r="C5" s="41" t="str">
        <f>'Qtr2'!D8</f>
        <v>Alcohol</v>
      </c>
      <c r="D5" s="69">
        <f>'Qtr2'!E8</f>
        <v>0</v>
      </c>
      <c r="E5" s="8"/>
      <c r="F5" s="3"/>
      <c r="G5" s="28"/>
      <c r="H5" s="41" t="str">
        <f>'Qtr1'!P14</f>
        <v>Income-C</v>
      </c>
      <c r="I5" s="44">
        <f>'Qtr2'!Q14</f>
        <v>0</v>
      </c>
      <c r="J5" s="8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</row>
    <row r="6" spans="1:28" ht="13.5" customHeight="1" x14ac:dyDescent="0.2">
      <c r="A6" s="3"/>
      <c r="B6" s="9"/>
      <c r="C6" s="41" t="str">
        <f>'Qtr2'!D9</f>
        <v>Entertain</v>
      </c>
      <c r="D6" s="69">
        <f>'Qtr2'!E9</f>
        <v>0</v>
      </c>
      <c r="E6" s="8"/>
      <c r="F6" s="3"/>
      <c r="H6" s="41" t="str">
        <f>'Qtr1'!P15</f>
        <v>Other</v>
      </c>
      <c r="I6" s="44">
        <f>'Qtr2'!Q15</f>
        <v>0</v>
      </c>
      <c r="J6" s="8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28" ht="13.5" customHeight="1" x14ac:dyDescent="0.2">
      <c r="A7" s="3"/>
      <c r="B7" s="9"/>
      <c r="C7" s="41" t="str">
        <f>'Qtr2'!D10</f>
        <v>Hair-Nails</v>
      </c>
      <c r="D7" s="69">
        <f>'Qtr2'!E10</f>
        <v>0</v>
      </c>
      <c r="E7" s="8"/>
      <c r="F7" s="3"/>
      <c r="H7" s="41" t="str">
        <f>'Qtr1'!P16</f>
        <v>Retirement TopUp</v>
      </c>
      <c r="I7" s="44">
        <f>'Qtr2'!Q16</f>
        <v>0</v>
      </c>
      <c r="J7" s="8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spans="1:28" ht="13.5" customHeight="1" x14ac:dyDescent="0.2">
      <c r="A8" s="3"/>
      <c r="B8" s="9"/>
      <c r="C8" s="41" t="str">
        <f>'Qtr2'!D11</f>
        <v>Unknown</v>
      </c>
      <c r="D8" s="69">
        <f>'Qtr2'!E11</f>
        <v>0</v>
      </c>
      <c r="E8" s="8"/>
      <c r="F8" s="3"/>
      <c r="H8" s="41" t="str">
        <f>'Qtr1'!P17</f>
        <v>Refunds-Loan Repay</v>
      </c>
      <c r="I8" s="44">
        <f>'Qtr2'!Q17</f>
        <v>0</v>
      </c>
      <c r="J8" s="11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</row>
    <row r="9" spans="1:28" ht="13.5" customHeight="1" thickBot="1" x14ac:dyDescent="0.25">
      <c r="A9" s="3"/>
      <c r="B9" s="97" t="str">
        <f>'Qtr2'!D5</f>
        <v>Daily Living Expenses</v>
      </c>
      <c r="C9" s="95"/>
      <c r="D9" s="98">
        <f>SUM(D3:D8)</f>
        <v>0</v>
      </c>
      <c r="E9" s="96"/>
      <c r="F9" s="3"/>
      <c r="G9" s="7"/>
      <c r="H9" s="45" t="str">
        <f>"Totals :"</f>
        <v>Totals :</v>
      </c>
      <c r="I9" s="46">
        <f>SUM(I3:I7)</f>
        <v>0</v>
      </c>
      <c r="J9" s="12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</row>
    <row r="10" spans="1:28" ht="13.5" customHeight="1" thickTop="1" x14ac:dyDescent="0.2">
      <c r="A10" s="3"/>
      <c r="B10" s="9"/>
      <c r="C10" s="41" t="str">
        <f>'Qtr2'!J6</f>
        <v>Petrol</v>
      </c>
      <c r="D10" s="69">
        <f>'Qtr2'!K6</f>
        <v>0</v>
      </c>
      <c r="E10" s="8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</row>
    <row r="11" spans="1:28" ht="13.5" customHeight="1" x14ac:dyDescent="0.2">
      <c r="A11" s="3"/>
      <c r="B11" s="9"/>
      <c r="C11" s="41" t="str">
        <f>'Qtr2'!J10</f>
        <v>Rego &amp; Fines</v>
      </c>
      <c r="D11" s="69">
        <f>'Qtr2'!K10</f>
        <v>0</v>
      </c>
      <c r="E11" s="8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</row>
    <row r="12" spans="1:28" ht="13.5" customHeight="1" x14ac:dyDescent="0.2">
      <c r="A12" s="3"/>
      <c r="B12" s="9"/>
      <c r="C12" s="41" t="str">
        <f>'Qtr2'!J7</f>
        <v>Service</v>
      </c>
      <c r="D12" s="69">
        <f>'Qtr2'!K7</f>
        <v>0</v>
      </c>
      <c r="E12" s="8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</row>
    <row r="13" spans="1:28" ht="13.5" customHeight="1" x14ac:dyDescent="0.2">
      <c r="A13" s="3"/>
      <c r="B13" s="9"/>
      <c r="C13" s="41" t="str">
        <f>'Qtr2'!J9</f>
        <v>Public Transp</v>
      </c>
      <c r="D13" s="69">
        <f>'Qtr2'!K9</f>
        <v>0</v>
      </c>
      <c r="E13" s="10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</row>
    <row r="14" spans="1:28" ht="13.5" customHeight="1" thickBot="1" x14ac:dyDescent="0.25">
      <c r="A14" s="3"/>
      <c r="B14" s="9"/>
      <c r="C14" s="41" t="str">
        <f>'Qtr2'!J8</f>
        <v>Parking</v>
      </c>
      <c r="D14" s="69">
        <f>'Qtr2'!K8</f>
        <v>0</v>
      </c>
      <c r="E14" s="8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</row>
    <row r="15" spans="1:28" ht="13.5" customHeight="1" thickTop="1" x14ac:dyDescent="0.2">
      <c r="A15" s="3"/>
      <c r="B15" s="94" t="str">
        <f>'Qtr2'!J5</f>
        <v>Transport</v>
      </c>
      <c r="C15" s="95"/>
      <c r="D15" s="98">
        <f>SUM(D10:D14)</f>
        <v>0</v>
      </c>
      <c r="E15" s="96"/>
      <c r="F15" s="3"/>
      <c r="G15" s="161" t="str">
        <f>"Expenses"</f>
        <v>Expenses</v>
      </c>
      <c r="H15" s="161"/>
      <c r="I15" s="161"/>
      <c r="J15" s="162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</row>
    <row r="16" spans="1:28" ht="13.5" customHeight="1" x14ac:dyDescent="0.25">
      <c r="A16" s="3"/>
      <c r="B16" s="9"/>
      <c r="C16" s="41" t="str">
        <f>'Qtr2'!G6</f>
        <v>Contents (NRMA)</v>
      </c>
      <c r="D16" s="69">
        <f>'Qtr2'!H6</f>
        <v>0</v>
      </c>
      <c r="E16" s="10"/>
      <c r="F16" s="3"/>
      <c r="H16" s="13" t="str">
        <f>$B$9</f>
        <v>Daily Living Expenses</v>
      </c>
      <c r="I16" s="75">
        <f>D9</f>
        <v>0</v>
      </c>
      <c r="J16" s="29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</row>
    <row r="17" spans="1:28" ht="13.5" customHeight="1" x14ac:dyDescent="0.25">
      <c r="A17" s="3"/>
      <c r="B17" s="9"/>
      <c r="C17" s="41" t="str">
        <f>'Qtr2'!G7</f>
        <v>Auto (NRMA)</v>
      </c>
      <c r="D17" s="69">
        <f>'Qtr2'!H7</f>
        <v>0</v>
      </c>
      <c r="E17" s="8"/>
      <c r="F17" s="3"/>
      <c r="H17" s="13" t="str">
        <f>$B$15</f>
        <v>Transport</v>
      </c>
      <c r="I17" s="75">
        <f>D15</f>
        <v>0</v>
      </c>
      <c r="J17" s="29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</row>
    <row r="18" spans="1:28" ht="13.5" customHeight="1" x14ac:dyDescent="0.25">
      <c r="A18" s="3"/>
      <c r="B18" s="9"/>
      <c r="C18" s="41" t="str">
        <f>'Qtr2'!G8</f>
        <v>RACQ</v>
      </c>
      <c r="D18" s="69">
        <f>'Qtr2'!H8</f>
        <v>0</v>
      </c>
      <c r="E18" s="8"/>
      <c r="F18" s="3"/>
      <c r="H18" s="13" t="str">
        <f>$B$19</f>
        <v>Insurance</v>
      </c>
      <c r="I18" s="75">
        <f>D19</f>
        <v>0</v>
      </c>
      <c r="J18" s="29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</row>
    <row r="19" spans="1:28" ht="13.5" customHeight="1" x14ac:dyDescent="0.25">
      <c r="A19" s="3"/>
      <c r="B19" s="94" t="str">
        <f>'Qtr2'!G5</f>
        <v>Insurance</v>
      </c>
      <c r="C19" s="95"/>
      <c r="D19" s="98">
        <f>SUM(D16:D18)</f>
        <v>0</v>
      </c>
      <c r="E19" s="96"/>
      <c r="F19" s="3"/>
      <c r="H19" s="13" t="str">
        <f>$B$22</f>
        <v>Medical</v>
      </c>
      <c r="I19" s="75">
        <f>D22</f>
        <v>0</v>
      </c>
      <c r="J19" s="2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</row>
    <row r="20" spans="1:28" ht="13.5" customHeight="1" x14ac:dyDescent="0.25">
      <c r="A20" s="3"/>
      <c r="B20" s="9"/>
      <c r="C20" s="41" t="str">
        <f>'Qtr2'!G12</f>
        <v>Meds - Surgery</v>
      </c>
      <c r="D20" s="69">
        <f>'Qtr2'!H12</f>
        <v>0</v>
      </c>
      <c r="E20" s="8"/>
      <c r="F20" s="3"/>
      <c r="H20" s="13" t="str">
        <f>$B$27</f>
        <v>Utilities - Rates</v>
      </c>
      <c r="I20" s="75">
        <f>D27</f>
        <v>0</v>
      </c>
      <c r="J20" s="29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</row>
    <row r="21" spans="1:28" ht="13.5" customHeight="1" x14ac:dyDescent="0.25">
      <c r="A21" s="3"/>
      <c r="B21" s="9"/>
      <c r="C21" s="41" t="str">
        <f>'Qtr2'!G13</f>
        <v>Alt Medicine</v>
      </c>
      <c r="D21" s="69">
        <f>'Qtr2'!H13</f>
        <v>0</v>
      </c>
      <c r="E21" s="8"/>
      <c r="F21" s="3"/>
      <c r="H21" s="13" t="str">
        <f>$B$35</f>
        <v>Sundry</v>
      </c>
      <c r="I21" s="75">
        <f>D35</f>
        <v>0</v>
      </c>
      <c r="J21" s="29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</row>
    <row r="22" spans="1:28" ht="13.5" customHeight="1" thickBot="1" x14ac:dyDescent="0.25">
      <c r="A22" s="3"/>
      <c r="B22" s="94" t="str">
        <f>'Qtr2'!G11</f>
        <v>Medical</v>
      </c>
      <c r="C22" s="95"/>
      <c r="D22" s="98">
        <f>SUM(D20:D21)</f>
        <v>0</v>
      </c>
      <c r="E22" s="96"/>
      <c r="F22" s="3"/>
      <c r="G22" s="7"/>
      <c r="H22" s="45" t="str">
        <f>"Totals :"</f>
        <v>Totals :</v>
      </c>
      <c r="I22" s="99">
        <f>SUM(I16:I21)</f>
        <v>0</v>
      </c>
      <c r="J22" s="1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</row>
    <row r="23" spans="1:28" ht="13.5" customHeight="1" thickTop="1" x14ac:dyDescent="0.2">
      <c r="A23" s="3"/>
      <c r="B23" s="9"/>
      <c r="C23" s="41" t="str">
        <f>'Qtr2'!M6</f>
        <v>Phone-Internet</v>
      </c>
      <c r="D23" s="69">
        <f>'Qtr2'!N6</f>
        <v>0</v>
      </c>
      <c r="E23" s="8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</row>
    <row r="24" spans="1:28" ht="13.5" customHeight="1" x14ac:dyDescent="0.2">
      <c r="A24" s="3"/>
      <c r="B24" s="9"/>
      <c r="C24" s="41" t="str">
        <f>'Qtr2'!M7</f>
        <v>IT</v>
      </c>
      <c r="D24" s="69">
        <f>'Qtr2'!N7</f>
        <v>0</v>
      </c>
      <c r="E24" s="8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</row>
    <row r="25" spans="1:28" ht="13.5" customHeight="1" x14ac:dyDescent="0.2">
      <c r="A25" s="3"/>
      <c r="B25" s="9"/>
      <c r="C25" s="41" t="str">
        <f>'Qtr2'!M8</f>
        <v>Electricity</v>
      </c>
      <c r="D25" s="69">
        <f>'Qtr2'!N8</f>
        <v>0</v>
      </c>
      <c r="E25" s="8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</row>
    <row r="26" spans="1:28" ht="13.5" customHeight="1" x14ac:dyDescent="0.2">
      <c r="A26" s="3"/>
      <c r="B26" s="51"/>
      <c r="C26" s="41" t="str">
        <f>'Qtr2'!M9</f>
        <v>Rates</v>
      </c>
      <c r="D26" s="69">
        <f>'Qtr2'!N9</f>
        <v>0</v>
      </c>
      <c r="E26" s="8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</row>
    <row r="27" spans="1:28" ht="13.5" customHeight="1" x14ac:dyDescent="0.2">
      <c r="A27" s="3"/>
      <c r="B27" s="94" t="str">
        <f>'Qtr2'!M5</f>
        <v>Utilities - Rates</v>
      </c>
      <c r="C27" s="95"/>
      <c r="D27" s="98">
        <f>SUM(D23:D26)</f>
        <v>0</v>
      </c>
      <c r="E27" s="96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</row>
    <row r="28" spans="1:28" ht="13.5" customHeight="1" x14ac:dyDescent="0.2">
      <c r="A28" s="3"/>
      <c r="B28" s="9"/>
      <c r="C28" s="41" t="str">
        <f>'Qtr2'!M12</f>
        <v>Gifts</v>
      </c>
      <c r="D28" s="42">
        <f>'Qtr2'!N12</f>
        <v>0</v>
      </c>
      <c r="E28" s="8"/>
      <c r="F28" s="3"/>
      <c r="G28" s="3"/>
      <c r="H28" s="100" t="s">
        <v>53</v>
      </c>
      <c r="I28" s="90">
        <f>I9</f>
        <v>0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</row>
    <row r="29" spans="1:28" ht="13.5" customHeight="1" thickBot="1" x14ac:dyDescent="0.25">
      <c r="A29" s="3"/>
      <c r="B29" s="9"/>
      <c r="C29" s="41" t="str">
        <f>'Qtr2'!M13</f>
        <v>Donations</v>
      </c>
      <c r="D29" s="42">
        <f>'Qtr2'!N13</f>
        <v>0</v>
      </c>
      <c r="E29" s="8"/>
      <c r="F29" s="3"/>
      <c r="G29" s="3"/>
      <c r="H29" s="101" t="s">
        <v>54</v>
      </c>
      <c r="I29" s="93">
        <f>I22</f>
        <v>0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</row>
    <row r="30" spans="1:28" ht="13.5" customHeight="1" thickTop="1" x14ac:dyDescent="0.2">
      <c r="A30" s="3"/>
      <c r="B30" s="9"/>
      <c r="C30" s="41" t="str">
        <f>'Qtr2'!M14</f>
        <v>Rob's Hobbies</v>
      </c>
      <c r="D30" s="42">
        <f>'Qtr2'!N14</f>
        <v>0</v>
      </c>
      <c r="E30" s="8"/>
      <c r="F30" s="3"/>
      <c r="G30" s="3"/>
      <c r="H30" s="20" t="s">
        <v>55</v>
      </c>
      <c r="I30" s="134">
        <f>I28-I29</f>
        <v>0</v>
      </c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</row>
    <row r="31" spans="1:28" ht="13.5" customHeight="1" x14ac:dyDescent="0.2">
      <c r="A31" s="3"/>
      <c r="B31" s="9"/>
      <c r="C31" s="41" t="str">
        <f>'Qtr2'!M15</f>
        <v>Julia's Hobbies</v>
      </c>
      <c r="D31" s="42">
        <f>'Qtr2'!N15</f>
        <v>0</v>
      </c>
      <c r="E31" s="8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</row>
    <row r="32" spans="1:28" ht="13.5" customHeight="1" x14ac:dyDescent="0.2">
      <c r="A32" s="3"/>
      <c r="B32" s="51"/>
      <c r="C32" s="41" t="str">
        <f>'Qtr2'!J16</f>
        <v>Holidays</v>
      </c>
      <c r="D32" s="42">
        <f>'Qtr2'!K17+'Qtr2'!K18</f>
        <v>0</v>
      </c>
      <c r="E32" s="8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</row>
    <row r="33" spans="1:28" ht="13.5" customHeight="1" x14ac:dyDescent="0.3">
      <c r="A33" s="3"/>
      <c r="B33" s="9"/>
      <c r="E33" s="8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</row>
    <row r="34" spans="1:28" ht="13.5" customHeight="1" x14ac:dyDescent="0.3">
      <c r="A34" s="3"/>
      <c r="B34" s="9"/>
      <c r="E34" s="8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ht="13.5" customHeight="1" x14ac:dyDescent="0.2">
      <c r="A35" s="3"/>
      <c r="B35" s="94" t="str">
        <f>'Qtr2'!M11</f>
        <v>Sundry</v>
      </c>
      <c r="C35" s="95"/>
      <c r="D35" s="98">
        <f>SUM(D28:D32)</f>
        <v>0</v>
      </c>
      <c r="E35" s="9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</row>
    <row r="36" spans="1:28" ht="13.5" customHeight="1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</row>
    <row r="37" spans="1:28" ht="13.5" customHeight="1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</row>
    <row r="38" spans="1:28" ht="13.5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</row>
    <row r="39" spans="1:28" ht="13.5" customHeight="1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</row>
    <row r="40" spans="1:28" ht="13.5" customHeight="1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</row>
    <row r="41" spans="1:28" ht="13.5" customHeight="1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</row>
    <row r="42" spans="1:28" ht="13.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</row>
    <row r="43" spans="1:28" ht="13.5" customHeight="1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ht="13.5" customHeight="1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ht="12.75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ht="12.75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ht="12.75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ht="12.75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1:28" ht="12.75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1:28" ht="12.75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1:28" ht="12.75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1:28" ht="12.75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1:28" ht="12.75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1:28" ht="12.75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1:28" ht="12.75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1:28" ht="12.75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1:28" ht="12.75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</row>
    <row r="58" spans="1:28" ht="12.75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</row>
    <row r="59" spans="1:28" ht="12.75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</row>
    <row r="60" spans="1:28" ht="12.75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</row>
    <row r="61" spans="1:28" ht="12.75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</row>
    <row r="62" spans="1:28" ht="12.75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</row>
    <row r="63" spans="1:28" ht="12.75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</row>
    <row r="64" spans="1:28" ht="12.75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</row>
    <row r="65" spans="1:28" ht="12.75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</row>
    <row r="66" spans="1:28" ht="12.75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</row>
    <row r="67" spans="1:28" ht="12.75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</row>
    <row r="68" spans="1:28" ht="12.75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</row>
    <row r="69" spans="1:28" ht="12.75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</row>
    <row r="70" spans="1:28" ht="12.75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</row>
    <row r="71" spans="1:28" ht="12.75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</row>
    <row r="72" spans="1:28" ht="12.75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</row>
    <row r="73" spans="1:28" ht="12.75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</row>
    <row r="74" spans="1:28" ht="12.75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</row>
    <row r="75" spans="1:28" ht="12.75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</row>
    <row r="76" spans="1:28" ht="12.75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</row>
    <row r="77" spans="1:28" ht="12.75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</row>
    <row r="78" spans="1:28" ht="12.75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</row>
    <row r="79" spans="1:28" ht="12.75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</row>
    <row r="80" spans="1:28" ht="12.75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</row>
    <row r="81" spans="1:28" ht="12.75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</row>
    <row r="82" spans="1:28" ht="12.75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</row>
    <row r="83" spans="1:28" ht="12.75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</row>
    <row r="84" spans="1:28" ht="12.75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</row>
    <row r="85" spans="1:28" ht="12.75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</row>
    <row r="86" spans="1:28" ht="12.75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</row>
    <row r="87" spans="1:28" ht="12.75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</row>
    <row r="88" spans="1:28" ht="12.75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</row>
    <row r="89" spans="1:28" ht="12.75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</row>
    <row r="90" spans="1:28" ht="12.75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</row>
  </sheetData>
  <mergeCells count="3">
    <mergeCell ref="B2:E2"/>
    <mergeCell ref="G2:J2"/>
    <mergeCell ref="G15:J15"/>
  </mergeCells>
  <pageMargins left="0.74791666666666701" right="0.74791666666666701" top="0.98402777777777795" bottom="0.98402777777777795" header="0.51180555555555496" footer="0.51180555555555496"/>
  <pageSetup paperSize="9" firstPageNumber="0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70B3-31B3-4D0B-ACCA-51B17AA6A1DE}">
  <sheetPr codeName="shzbudget3">
    <tabColor theme="4" tint="-0.499984740745262"/>
  </sheetPr>
  <dimension ref="A1:AB90"/>
  <sheetViews>
    <sheetView showGridLines="0" zoomScaleNormal="100" workbookViewId="0">
      <selection activeCell="B37" sqref="B37:F38"/>
    </sheetView>
  </sheetViews>
  <sheetFormatPr defaultColWidth="8.42578125" defaultRowHeight="20.25" x14ac:dyDescent="0.3"/>
  <cols>
    <col min="1" max="1" width="4.85546875" customWidth="1"/>
    <col min="2" max="2" width="2.28515625" customWidth="1"/>
    <col min="3" max="3" width="27.85546875" customWidth="1"/>
    <col min="4" max="4" width="12.7109375" style="1" customWidth="1"/>
    <col min="5" max="5" width="1.28515625" style="2" customWidth="1"/>
    <col min="6" max="6" width="3.28515625" customWidth="1"/>
    <col min="7" max="7" width="1.7109375" customWidth="1"/>
    <col min="8" max="8" width="22.42578125" customWidth="1"/>
    <col min="9" max="9" width="12.7109375" customWidth="1"/>
    <col min="10" max="10" width="1.140625" customWidth="1"/>
    <col min="11" max="11" width="3.7109375" customWidth="1"/>
    <col min="12" max="12" width="2.85546875" customWidth="1"/>
    <col min="13" max="13" width="26.140625" customWidth="1"/>
    <col min="14" max="14" width="14.42578125" style="54" customWidth="1"/>
    <col min="15" max="15" width="3.42578125" customWidth="1"/>
    <col min="17" max="17" width="98.85546875" customWidth="1"/>
  </cols>
  <sheetData>
    <row r="1" spans="1:28" ht="13.5" thickBo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 ht="21" customHeight="1" thickTop="1" x14ac:dyDescent="0.25">
      <c r="A2" s="3"/>
      <c r="B2" s="153" t="str">
        <f>"Expenses Q3"</f>
        <v>Expenses Q3</v>
      </c>
      <c r="C2" s="154"/>
      <c r="D2" s="154"/>
      <c r="E2" s="155"/>
      <c r="F2" s="43"/>
      <c r="G2" s="156" t="str">
        <f>"Revenue Q3"</f>
        <v>Revenue Q3</v>
      </c>
      <c r="H2" s="157"/>
      <c r="I2" s="157"/>
      <c r="J2" s="158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28" ht="13.5" customHeight="1" x14ac:dyDescent="0.3">
      <c r="A3" s="3"/>
      <c r="B3" s="9"/>
      <c r="C3" s="41" t="str">
        <f>'Qtr3'!D6</f>
        <v>Groceries</v>
      </c>
      <c r="D3" s="69">
        <f>'Qtr3'!E6</f>
        <v>0</v>
      </c>
      <c r="E3" s="8"/>
      <c r="F3" s="3"/>
      <c r="G3" s="28"/>
      <c r="H3" s="41" t="str">
        <f>'Qtr1'!P12</f>
        <v>Income-A</v>
      </c>
      <c r="I3" s="44">
        <f>'Qtr3'!Q12</f>
        <v>0</v>
      </c>
      <c r="J3" s="11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</row>
    <row r="4" spans="1:28" ht="13.5" customHeight="1" x14ac:dyDescent="0.3">
      <c r="A4" s="3"/>
      <c r="B4" s="9"/>
      <c r="C4" s="41" t="str">
        <f>'Qtr3'!D7</f>
        <v>Dining</v>
      </c>
      <c r="D4" s="69">
        <f>'Qtr3'!E7</f>
        <v>0</v>
      </c>
      <c r="E4" s="8"/>
      <c r="F4" s="3"/>
      <c r="G4" s="28"/>
      <c r="H4" s="41" t="str">
        <f>'Qtr1'!P13</f>
        <v>Income-B</v>
      </c>
      <c r="I4" s="44">
        <f>'Qtr3'!Q13</f>
        <v>0</v>
      </c>
      <c r="J4" s="11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</row>
    <row r="5" spans="1:28" ht="13.5" customHeight="1" x14ac:dyDescent="0.3">
      <c r="A5" s="3"/>
      <c r="B5" s="9"/>
      <c r="C5" s="41" t="str">
        <f>'Qtr3'!D8</f>
        <v>Alcohol</v>
      </c>
      <c r="D5" s="69">
        <f>'Qtr3'!E8</f>
        <v>0</v>
      </c>
      <c r="E5" s="8"/>
      <c r="F5" s="3"/>
      <c r="G5" s="28"/>
      <c r="H5" s="41" t="str">
        <f>'Qtr1'!P14</f>
        <v>Income-C</v>
      </c>
      <c r="I5" s="44">
        <f>'Qtr3'!Q14</f>
        <v>0</v>
      </c>
      <c r="J5" s="8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</row>
    <row r="6" spans="1:28" ht="13.5" customHeight="1" x14ac:dyDescent="0.2">
      <c r="A6" s="3"/>
      <c r="B6" s="9"/>
      <c r="C6" s="41" t="str">
        <f>'Qtr3'!D9</f>
        <v>Entertain</v>
      </c>
      <c r="D6" s="69">
        <f>'Qtr3'!E9</f>
        <v>0</v>
      </c>
      <c r="E6" s="8"/>
      <c r="F6" s="3"/>
      <c r="H6" s="41" t="str">
        <f>'Qtr1'!P15</f>
        <v>Other</v>
      </c>
      <c r="I6" s="44">
        <f>'Qtr3'!Q15</f>
        <v>0</v>
      </c>
      <c r="J6" s="8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28" ht="13.5" customHeight="1" x14ac:dyDescent="0.2">
      <c r="A7" s="3"/>
      <c r="B7" s="9"/>
      <c r="C7" s="41" t="str">
        <f>'Qtr3'!D10</f>
        <v>Hair-Nails</v>
      </c>
      <c r="D7" s="69">
        <f>'Qtr3'!E10</f>
        <v>0</v>
      </c>
      <c r="E7" s="8"/>
      <c r="F7" s="3"/>
      <c r="H7" s="41" t="str">
        <f>'Qtr1'!P16</f>
        <v>Retirement TopUp</v>
      </c>
      <c r="I7" s="44">
        <f>'Qtr3'!Q16</f>
        <v>0</v>
      </c>
      <c r="J7" s="8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spans="1:28" ht="13.5" customHeight="1" x14ac:dyDescent="0.2">
      <c r="A8" s="3"/>
      <c r="B8" s="9"/>
      <c r="C8" s="41" t="str">
        <f>'Qtr3'!D11</f>
        <v>Unknown</v>
      </c>
      <c r="D8" s="69">
        <f>'Qtr3'!E11</f>
        <v>0</v>
      </c>
      <c r="E8" s="8"/>
      <c r="F8" s="3"/>
      <c r="H8" s="41" t="str">
        <f>'Qtr1'!P17</f>
        <v>Refunds-Loan Repay</v>
      </c>
      <c r="I8" s="44">
        <f>'Qtr3'!Q17</f>
        <v>0</v>
      </c>
      <c r="J8" s="11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</row>
    <row r="9" spans="1:28" ht="13.5" customHeight="1" thickBot="1" x14ac:dyDescent="0.25">
      <c r="A9" s="3"/>
      <c r="B9" s="97" t="str">
        <f>'Qtr3'!D5</f>
        <v>Daily Living Expenses</v>
      </c>
      <c r="C9" s="95"/>
      <c r="D9" s="98">
        <f>SUM(D3:D8)</f>
        <v>0</v>
      </c>
      <c r="E9" s="96"/>
      <c r="F9" s="3"/>
      <c r="G9" s="7"/>
      <c r="H9" s="45" t="str">
        <f>"Totals :"</f>
        <v>Totals :</v>
      </c>
      <c r="I9" s="46">
        <f>SUM(I3:I7)</f>
        <v>0</v>
      </c>
      <c r="J9" s="12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</row>
    <row r="10" spans="1:28" ht="13.5" customHeight="1" thickTop="1" x14ac:dyDescent="0.2">
      <c r="A10" s="3"/>
      <c r="B10" s="9"/>
      <c r="C10" s="41" t="str">
        <f>'Qtr3'!J6</f>
        <v>Petrol</v>
      </c>
      <c r="D10" s="69">
        <f>'Qtr3'!K6</f>
        <v>0</v>
      </c>
      <c r="E10" s="8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</row>
    <row r="11" spans="1:28" ht="13.5" customHeight="1" x14ac:dyDescent="0.2">
      <c r="A11" s="3"/>
      <c r="B11" s="9"/>
      <c r="C11" s="41" t="str">
        <f>'Qtr3'!J10</f>
        <v>Rego &amp; Fines</v>
      </c>
      <c r="D11" s="69">
        <f>'Qtr3'!K10</f>
        <v>0</v>
      </c>
      <c r="E11" s="8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</row>
    <row r="12" spans="1:28" ht="13.5" customHeight="1" x14ac:dyDescent="0.2">
      <c r="A12" s="3"/>
      <c r="B12" s="9"/>
      <c r="C12" s="41" t="str">
        <f>'Qtr3'!J7</f>
        <v>Service</v>
      </c>
      <c r="D12" s="69">
        <f>'Qtr3'!K7</f>
        <v>0</v>
      </c>
      <c r="E12" s="8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</row>
    <row r="13" spans="1:28" ht="13.5" customHeight="1" x14ac:dyDescent="0.2">
      <c r="A13" s="3"/>
      <c r="B13" s="9"/>
      <c r="C13" s="41" t="str">
        <f>'Qtr3'!J9</f>
        <v>Public Transp</v>
      </c>
      <c r="D13" s="69">
        <f>'Qtr3'!K9</f>
        <v>0</v>
      </c>
      <c r="E13" s="10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</row>
    <row r="14" spans="1:28" ht="13.5" customHeight="1" thickBot="1" x14ac:dyDescent="0.25">
      <c r="A14" s="3"/>
      <c r="B14" s="9"/>
      <c r="C14" s="41" t="str">
        <f>'Qtr3'!J8</f>
        <v>Parking</v>
      </c>
      <c r="D14" s="69">
        <f>'Qtr3'!K8</f>
        <v>0</v>
      </c>
      <c r="E14" s="8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</row>
    <row r="15" spans="1:28" ht="13.5" customHeight="1" thickTop="1" x14ac:dyDescent="0.2">
      <c r="A15" s="3"/>
      <c r="B15" s="94" t="str">
        <f>'Qtr3'!J5</f>
        <v>Transport</v>
      </c>
      <c r="C15" s="95"/>
      <c r="D15" s="98">
        <f>SUM(D10:D14)</f>
        <v>0</v>
      </c>
      <c r="E15" s="96"/>
      <c r="F15" s="3"/>
      <c r="G15" s="161" t="str">
        <f>"Expenses"</f>
        <v>Expenses</v>
      </c>
      <c r="H15" s="161"/>
      <c r="I15" s="161"/>
      <c r="J15" s="162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</row>
    <row r="16" spans="1:28" ht="13.5" customHeight="1" x14ac:dyDescent="0.25">
      <c r="A16" s="3"/>
      <c r="B16" s="9"/>
      <c r="C16" s="41" t="str">
        <f>'Qtr3'!G6</f>
        <v>Contents (NRMA)</v>
      </c>
      <c r="D16" s="69">
        <f>'Qtr3'!H6</f>
        <v>0</v>
      </c>
      <c r="E16" s="10"/>
      <c r="F16" s="3"/>
      <c r="H16" s="13" t="str">
        <f>$B$9</f>
        <v>Daily Living Expenses</v>
      </c>
      <c r="I16" s="75">
        <f>D9</f>
        <v>0</v>
      </c>
      <c r="J16" s="29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</row>
    <row r="17" spans="1:28" ht="13.5" customHeight="1" x14ac:dyDescent="0.25">
      <c r="A17" s="3"/>
      <c r="B17" s="9"/>
      <c r="C17" s="41" t="str">
        <f>'Qtr3'!G7</f>
        <v>Auto (NRMA)</v>
      </c>
      <c r="D17" s="69">
        <f>'Qtr3'!H7</f>
        <v>0</v>
      </c>
      <c r="E17" s="8"/>
      <c r="F17" s="3"/>
      <c r="H17" s="13" t="str">
        <f>$B$15</f>
        <v>Transport</v>
      </c>
      <c r="I17" s="75">
        <f>D15</f>
        <v>0</v>
      </c>
      <c r="J17" s="29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</row>
    <row r="18" spans="1:28" ht="13.5" customHeight="1" x14ac:dyDescent="0.25">
      <c r="A18" s="3"/>
      <c r="B18" s="9"/>
      <c r="C18" s="41" t="str">
        <f>'Qtr3'!G8</f>
        <v>RACQ</v>
      </c>
      <c r="D18" s="69">
        <f>'Qtr3'!H8</f>
        <v>0</v>
      </c>
      <c r="E18" s="8"/>
      <c r="F18" s="3"/>
      <c r="H18" s="13" t="str">
        <f>$B$19</f>
        <v>Insurance</v>
      </c>
      <c r="I18" s="75">
        <f>D19</f>
        <v>0</v>
      </c>
      <c r="J18" s="29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</row>
    <row r="19" spans="1:28" ht="13.5" customHeight="1" x14ac:dyDescent="0.25">
      <c r="A19" s="3"/>
      <c r="B19" s="94" t="str">
        <f>'Qtr3'!G5</f>
        <v>Insurance</v>
      </c>
      <c r="C19" s="95"/>
      <c r="D19" s="98">
        <f>SUM(D16:D18)</f>
        <v>0</v>
      </c>
      <c r="E19" s="96"/>
      <c r="F19" s="3"/>
      <c r="H19" s="13" t="str">
        <f>$B$22</f>
        <v>Medical</v>
      </c>
      <c r="I19" s="75">
        <f>D22</f>
        <v>0</v>
      </c>
      <c r="J19" s="2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</row>
    <row r="20" spans="1:28" ht="13.5" customHeight="1" x14ac:dyDescent="0.25">
      <c r="A20" s="3"/>
      <c r="B20" s="9"/>
      <c r="C20" s="41" t="str">
        <f>'Qtr3'!G12</f>
        <v>Meds - Surgery</v>
      </c>
      <c r="D20" s="69">
        <f>'Qtr3'!H12</f>
        <v>0</v>
      </c>
      <c r="E20" s="8"/>
      <c r="F20" s="3"/>
      <c r="H20" s="13" t="str">
        <f>$B$27</f>
        <v>Utilities - Rates</v>
      </c>
      <c r="I20" s="75">
        <f>D27</f>
        <v>0</v>
      </c>
      <c r="J20" s="29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</row>
    <row r="21" spans="1:28" ht="13.5" customHeight="1" x14ac:dyDescent="0.25">
      <c r="A21" s="3"/>
      <c r="B21" s="9"/>
      <c r="C21" s="41" t="str">
        <f>'Qtr3'!G13</f>
        <v>Alt Medicine</v>
      </c>
      <c r="D21" s="69">
        <f>'Qtr3'!H13</f>
        <v>0</v>
      </c>
      <c r="E21" s="8"/>
      <c r="F21" s="3"/>
      <c r="H21" s="13" t="str">
        <f>$B$35</f>
        <v>Sundry</v>
      </c>
      <c r="I21" s="75">
        <f>D35</f>
        <v>0</v>
      </c>
      <c r="J21" s="29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</row>
    <row r="22" spans="1:28" ht="13.5" customHeight="1" thickBot="1" x14ac:dyDescent="0.25">
      <c r="A22" s="3"/>
      <c r="B22" s="94" t="str">
        <f>'Qtr3'!G11</f>
        <v>Medical</v>
      </c>
      <c r="C22" s="95"/>
      <c r="D22" s="98">
        <f>SUM(D20:D21)</f>
        <v>0</v>
      </c>
      <c r="E22" s="96"/>
      <c r="F22" s="3"/>
      <c r="G22" s="7"/>
      <c r="H22" s="45" t="str">
        <f>"Totals :"</f>
        <v>Totals :</v>
      </c>
      <c r="I22" s="99">
        <f>SUM(I16:I21)</f>
        <v>0</v>
      </c>
      <c r="J22" s="1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</row>
    <row r="23" spans="1:28" ht="13.5" customHeight="1" thickTop="1" x14ac:dyDescent="0.2">
      <c r="A23" s="3"/>
      <c r="B23" s="9"/>
      <c r="C23" s="41" t="str">
        <f>'Qtr3'!M6</f>
        <v>Phone-Internet</v>
      </c>
      <c r="D23" s="69">
        <f>'Qtr3'!N6</f>
        <v>0</v>
      </c>
      <c r="E23" s="8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</row>
    <row r="24" spans="1:28" ht="13.5" customHeight="1" x14ac:dyDescent="0.2">
      <c r="A24" s="3"/>
      <c r="B24" s="9"/>
      <c r="C24" s="41" t="str">
        <f>'Qtr3'!M7</f>
        <v>IT</v>
      </c>
      <c r="D24" s="69">
        <f>'Qtr3'!N7</f>
        <v>0</v>
      </c>
      <c r="E24" s="8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</row>
    <row r="25" spans="1:28" ht="13.5" customHeight="1" x14ac:dyDescent="0.2">
      <c r="A25" s="3"/>
      <c r="B25" s="9"/>
      <c r="C25" s="41" t="str">
        <f>'Qtr3'!M8</f>
        <v>Electricity</v>
      </c>
      <c r="D25" s="69">
        <f>'Qtr3'!N8</f>
        <v>0</v>
      </c>
      <c r="E25" s="8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</row>
    <row r="26" spans="1:28" ht="13.5" customHeight="1" x14ac:dyDescent="0.2">
      <c r="A26" s="3"/>
      <c r="B26" s="51"/>
      <c r="C26" s="41" t="str">
        <f>'Qtr3'!M9</f>
        <v>Rates</v>
      </c>
      <c r="D26" s="69">
        <f>'Qtr3'!N9</f>
        <v>0</v>
      </c>
      <c r="E26" s="8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</row>
    <row r="27" spans="1:28" ht="13.5" customHeight="1" x14ac:dyDescent="0.2">
      <c r="A27" s="3"/>
      <c r="B27" s="94" t="str">
        <f>'Qtr3'!M5</f>
        <v>Utilities - Rates</v>
      </c>
      <c r="C27" s="95"/>
      <c r="D27" s="98">
        <f>SUM(D23:D26)</f>
        <v>0</v>
      </c>
      <c r="E27" s="96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</row>
    <row r="28" spans="1:28" ht="13.5" customHeight="1" x14ac:dyDescent="0.2">
      <c r="A28" s="3"/>
      <c r="B28" s="9"/>
      <c r="C28" s="41" t="str">
        <f>'Qtr3'!M12</f>
        <v>Gifts</v>
      </c>
      <c r="D28" s="42">
        <f>'Qtr3'!N12</f>
        <v>0</v>
      </c>
      <c r="E28" s="8"/>
      <c r="F28" s="3"/>
      <c r="G28" s="3"/>
      <c r="H28" s="100" t="s">
        <v>53</v>
      </c>
      <c r="I28" s="90">
        <f>I8</f>
        <v>0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</row>
    <row r="29" spans="1:28" ht="13.5" customHeight="1" thickBot="1" x14ac:dyDescent="0.25">
      <c r="A29" s="3"/>
      <c r="B29" s="9"/>
      <c r="C29" s="41" t="str">
        <f>'Qtr3'!M13</f>
        <v>Donations</v>
      </c>
      <c r="D29" s="42">
        <f>'Qtr3'!N13</f>
        <v>0</v>
      </c>
      <c r="E29" s="8"/>
      <c r="F29" s="3"/>
      <c r="G29" s="3"/>
      <c r="H29" s="101" t="s">
        <v>54</v>
      </c>
      <c r="I29" s="93">
        <f>I22</f>
        <v>0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</row>
    <row r="30" spans="1:28" ht="13.5" customHeight="1" thickTop="1" x14ac:dyDescent="0.2">
      <c r="A30" s="3"/>
      <c r="B30" s="9"/>
      <c r="C30" s="41" t="str">
        <f>'Qtr3'!M14</f>
        <v>Rob's Hobbies</v>
      </c>
      <c r="D30" s="42">
        <f>'Qtr3'!N14</f>
        <v>0</v>
      </c>
      <c r="E30" s="8"/>
      <c r="F30" s="3"/>
      <c r="G30" s="3"/>
      <c r="H30" s="20" t="s">
        <v>55</v>
      </c>
      <c r="I30" s="134">
        <f>I28-I29</f>
        <v>0</v>
      </c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</row>
    <row r="31" spans="1:28" ht="13.5" customHeight="1" x14ac:dyDescent="0.2">
      <c r="A31" s="3"/>
      <c r="B31" s="9"/>
      <c r="C31" s="41" t="str">
        <f>'Qtr3'!M15</f>
        <v>Julia's Hobbies</v>
      </c>
      <c r="D31" s="42">
        <f>'Qtr3'!N15</f>
        <v>0</v>
      </c>
      <c r="E31" s="8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</row>
    <row r="32" spans="1:28" ht="13.5" customHeight="1" x14ac:dyDescent="0.2">
      <c r="A32" s="3"/>
      <c r="B32" s="51"/>
      <c r="C32" s="41" t="str">
        <f>'Qtr3'!J16</f>
        <v>Holidays</v>
      </c>
      <c r="D32" s="42">
        <f>'Qtr3'!K17+'Qtr3'!K18</f>
        <v>0</v>
      </c>
      <c r="E32" s="8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</row>
    <row r="33" spans="1:28" ht="13.5" customHeight="1" x14ac:dyDescent="0.3">
      <c r="A33" s="3"/>
      <c r="B33" s="9"/>
      <c r="E33" s="8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</row>
    <row r="34" spans="1:28" ht="13.5" customHeight="1" x14ac:dyDescent="0.3">
      <c r="A34" s="3"/>
      <c r="B34" s="9"/>
      <c r="E34" s="8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ht="13.5" customHeight="1" x14ac:dyDescent="0.2">
      <c r="A35" s="3"/>
      <c r="B35" s="94" t="str">
        <f>'Qtr3'!M11</f>
        <v>Sundry</v>
      </c>
      <c r="C35" s="95"/>
      <c r="D35" s="98">
        <f>SUM(D28:D33)</f>
        <v>0</v>
      </c>
      <c r="E35" s="9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</row>
    <row r="36" spans="1:28" ht="13.5" customHeight="1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</row>
    <row r="37" spans="1:28" ht="13.5" customHeight="1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</row>
    <row r="38" spans="1:28" ht="13.5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</row>
    <row r="39" spans="1:28" ht="13.5" customHeight="1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</row>
    <row r="40" spans="1:28" ht="13.5" customHeight="1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</row>
    <row r="41" spans="1:28" ht="13.5" customHeight="1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</row>
    <row r="42" spans="1:28" ht="13.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</row>
    <row r="43" spans="1:28" ht="13.5" customHeight="1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ht="13.5" customHeight="1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ht="12.75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ht="12.75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ht="12.75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ht="12.75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1:28" ht="12.75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1:28" ht="12.75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1:28" ht="12.75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1:28" ht="12.75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1:28" ht="12.75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1:28" ht="12.75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1:28" ht="12.75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1:28" ht="12.75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1:28" ht="12.75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</row>
    <row r="58" spans="1:28" ht="12.75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</row>
    <row r="59" spans="1:28" ht="12.75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</row>
    <row r="60" spans="1:28" ht="12.75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</row>
    <row r="61" spans="1:28" ht="12.75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</row>
    <row r="62" spans="1:28" ht="12.75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</row>
    <row r="63" spans="1:28" ht="12.75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</row>
    <row r="64" spans="1:28" ht="12.75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</row>
    <row r="65" spans="1:28" ht="12.75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</row>
    <row r="66" spans="1:28" ht="12.75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</row>
    <row r="67" spans="1:28" ht="12.75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</row>
    <row r="68" spans="1:28" ht="12.75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</row>
    <row r="69" spans="1:28" ht="12.75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</row>
    <row r="70" spans="1:28" ht="12.75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</row>
    <row r="71" spans="1:28" ht="12.75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</row>
    <row r="72" spans="1:28" ht="12.75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</row>
    <row r="73" spans="1:28" ht="12.75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</row>
    <row r="74" spans="1:28" ht="12.75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</row>
    <row r="75" spans="1:28" ht="12.75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</row>
    <row r="76" spans="1:28" ht="12.75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</row>
    <row r="77" spans="1:28" ht="12.75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</row>
    <row r="78" spans="1:28" ht="12.75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</row>
    <row r="79" spans="1:28" ht="12.75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</row>
    <row r="80" spans="1:28" ht="12.75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</row>
    <row r="81" spans="1:28" ht="12.75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</row>
    <row r="82" spans="1:28" ht="12.75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</row>
    <row r="83" spans="1:28" ht="12.75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</row>
    <row r="84" spans="1:28" ht="12.75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</row>
    <row r="85" spans="1:28" ht="12.75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</row>
    <row r="86" spans="1:28" ht="12.75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</row>
    <row r="87" spans="1:28" ht="12.75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</row>
    <row r="88" spans="1:28" ht="12.75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</row>
    <row r="89" spans="1:28" ht="12.75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</row>
    <row r="90" spans="1:28" ht="12.75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</row>
  </sheetData>
  <mergeCells count="3">
    <mergeCell ref="B2:E2"/>
    <mergeCell ref="G2:J2"/>
    <mergeCell ref="G15:J15"/>
  </mergeCells>
  <pageMargins left="0.74791666666666701" right="0.74791666666666701" top="0.98402777777777795" bottom="0.98402777777777795" header="0.51180555555555496" footer="0.51180555555555496"/>
  <pageSetup paperSize="9" firstPageNumber="0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44433-829C-41AC-BA96-E8CD59C68C40}">
  <sheetPr codeName="shzbudget4">
    <tabColor theme="4" tint="-0.499984740745262"/>
  </sheetPr>
  <dimension ref="A1:AB90"/>
  <sheetViews>
    <sheetView showGridLines="0" zoomScaleNormal="100" workbookViewId="0">
      <selection activeCell="D3" sqref="D3:D35"/>
    </sheetView>
  </sheetViews>
  <sheetFormatPr defaultColWidth="8.42578125" defaultRowHeight="20.25" x14ac:dyDescent="0.3"/>
  <cols>
    <col min="1" max="1" width="4.85546875" customWidth="1"/>
    <col min="2" max="2" width="2.28515625" customWidth="1"/>
    <col min="3" max="3" width="27.85546875" customWidth="1"/>
    <col min="4" max="4" width="12.7109375" style="1" customWidth="1"/>
    <col min="5" max="5" width="1.28515625" style="2" customWidth="1"/>
    <col min="6" max="6" width="3.28515625" customWidth="1"/>
    <col min="7" max="7" width="1.7109375" customWidth="1"/>
    <col min="8" max="8" width="22.42578125" customWidth="1"/>
    <col min="9" max="9" width="12.7109375" customWidth="1"/>
    <col min="10" max="10" width="1.140625" customWidth="1"/>
    <col min="11" max="11" width="3.7109375" customWidth="1"/>
    <col min="12" max="12" width="2.85546875" customWidth="1"/>
    <col min="13" max="13" width="26.140625" customWidth="1"/>
    <col min="14" max="14" width="14.42578125" style="54" customWidth="1"/>
    <col min="15" max="15" width="3.42578125" customWidth="1"/>
    <col min="17" max="17" width="98.85546875" customWidth="1"/>
  </cols>
  <sheetData>
    <row r="1" spans="1:28" ht="13.5" thickBo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 ht="21" customHeight="1" thickTop="1" x14ac:dyDescent="0.25">
      <c r="A2" s="3"/>
      <c r="B2" s="153" t="str">
        <f>"Expenses Q4"</f>
        <v>Expenses Q4</v>
      </c>
      <c r="C2" s="154"/>
      <c r="D2" s="154"/>
      <c r="E2" s="155"/>
      <c r="F2" s="43"/>
      <c r="G2" s="156" t="str">
        <f>"Revenue Q4"</f>
        <v>Revenue Q4</v>
      </c>
      <c r="H2" s="157"/>
      <c r="I2" s="157"/>
      <c r="J2" s="158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28" ht="13.5" customHeight="1" x14ac:dyDescent="0.3">
      <c r="A3" s="3"/>
      <c r="B3" s="9"/>
      <c r="C3" s="41" t="str">
        <f>'Qtr4'!D6</f>
        <v>Groceries</v>
      </c>
      <c r="D3" s="137">
        <f>'Qtr4'!E6</f>
        <v>0</v>
      </c>
      <c r="E3" s="8"/>
      <c r="F3" s="3"/>
      <c r="G3" s="28"/>
      <c r="H3" s="41" t="str">
        <f>'Qtr1'!P12</f>
        <v>Income-A</v>
      </c>
      <c r="I3" s="44">
        <f>'Qtr4'!Q12</f>
        <v>0</v>
      </c>
      <c r="J3" s="11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</row>
    <row r="4" spans="1:28" ht="13.5" customHeight="1" x14ac:dyDescent="0.3">
      <c r="A4" s="3"/>
      <c r="B4" s="9"/>
      <c r="C4" s="41" t="str">
        <f>'Qtr4'!D7</f>
        <v>Dining</v>
      </c>
      <c r="D4" s="137">
        <f>'Qtr4'!E7</f>
        <v>0</v>
      </c>
      <c r="E4" s="8"/>
      <c r="F4" s="3"/>
      <c r="G4" s="28"/>
      <c r="H4" s="41" t="str">
        <f>'Qtr1'!P13</f>
        <v>Income-B</v>
      </c>
      <c r="I4" s="44">
        <f>'Qtr4'!Q13</f>
        <v>0</v>
      </c>
      <c r="J4" s="11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</row>
    <row r="5" spans="1:28" ht="13.5" customHeight="1" x14ac:dyDescent="0.3">
      <c r="A5" s="3"/>
      <c r="B5" s="9"/>
      <c r="C5" s="41" t="str">
        <f>'Qtr4'!D8</f>
        <v>Alcohol</v>
      </c>
      <c r="D5" s="137">
        <f>'Qtr4'!E8</f>
        <v>0</v>
      </c>
      <c r="E5" s="8"/>
      <c r="F5" s="3"/>
      <c r="G5" s="28"/>
      <c r="H5" s="41" t="str">
        <f>'Qtr1'!P14</f>
        <v>Income-C</v>
      </c>
      <c r="I5" s="44">
        <f>'Qtr4'!Q14</f>
        <v>0</v>
      </c>
      <c r="J5" s="8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</row>
    <row r="6" spans="1:28" ht="13.5" customHeight="1" x14ac:dyDescent="0.2">
      <c r="A6" s="3"/>
      <c r="B6" s="9"/>
      <c r="C6" s="41" t="str">
        <f>'Qtr4'!D9</f>
        <v>Entertain</v>
      </c>
      <c r="D6" s="137">
        <f>'Qtr4'!E9</f>
        <v>0</v>
      </c>
      <c r="E6" s="8"/>
      <c r="F6" s="3"/>
      <c r="H6" s="41" t="str">
        <f>'Qtr1'!P15</f>
        <v>Other</v>
      </c>
      <c r="I6" s="44">
        <f>'Qtr4'!Q15</f>
        <v>0</v>
      </c>
      <c r="J6" s="8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28" ht="13.5" customHeight="1" x14ac:dyDescent="0.2">
      <c r="A7" s="3"/>
      <c r="B7" s="9"/>
      <c r="C7" s="41" t="str">
        <f>'Qtr4'!D10</f>
        <v>Hair-Nails</v>
      </c>
      <c r="D7" s="137">
        <f>'Qtr4'!E10</f>
        <v>0</v>
      </c>
      <c r="E7" s="8"/>
      <c r="F7" s="3"/>
      <c r="H7" s="41" t="str">
        <f>'Qtr1'!P16</f>
        <v>Retirement TopUp</v>
      </c>
      <c r="I7" s="44">
        <f>'Qtr4'!Q16</f>
        <v>0</v>
      </c>
      <c r="J7" s="8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spans="1:28" ht="13.5" customHeight="1" x14ac:dyDescent="0.2">
      <c r="A8" s="3"/>
      <c r="B8" s="9"/>
      <c r="C8" s="41" t="str">
        <f>'Qtr4'!D11</f>
        <v>Unknown</v>
      </c>
      <c r="D8" s="137">
        <f>'Qtr3'!E11</f>
        <v>0</v>
      </c>
      <c r="E8" s="8"/>
      <c r="F8" s="3"/>
      <c r="H8" s="41" t="str">
        <f>'Qtr1'!P17</f>
        <v>Refunds-Loan Repay</v>
      </c>
      <c r="I8" s="44">
        <f>'Qtr4'!Q17</f>
        <v>0</v>
      </c>
      <c r="J8" s="11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</row>
    <row r="9" spans="1:28" ht="13.5" customHeight="1" thickBot="1" x14ac:dyDescent="0.25">
      <c r="A9" s="3"/>
      <c r="B9" s="97" t="str">
        <f>'Qtr3'!D5</f>
        <v>Daily Living Expenses</v>
      </c>
      <c r="C9" s="95"/>
      <c r="D9" s="140">
        <f>SUM(D3:D8)</f>
        <v>0</v>
      </c>
      <c r="E9" s="96"/>
      <c r="F9" s="3"/>
      <c r="G9" s="7"/>
      <c r="H9" s="45" t="str">
        <f>"Totals :"</f>
        <v>Totals :</v>
      </c>
      <c r="I9" s="46">
        <f>SUM(I3:I7)</f>
        <v>0</v>
      </c>
      <c r="J9" s="12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</row>
    <row r="10" spans="1:28" ht="13.5" customHeight="1" thickTop="1" x14ac:dyDescent="0.2">
      <c r="A10" s="3"/>
      <c r="B10" s="9"/>
      <c r="C10" s="41" t="str">
        <f>'Qtr4'!J6</f>
        <v>Petrol</v>
      </c>
      <c r="D10" s="137">
        <f>'Qtr4'!K6</f>
        <v>0</v>
      </c>
      <c r="E10" s="8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</row>
    <row r="11" spans="1:28" ht="13.5" customHeight="1" x14ac:dyDescent="0.2">
      <c r="A11" s="3"/>
      <c r="B11" s="9"/>
      <c r="C11" s="41" t="str">
        <f>'Qtr4'!J7</f>
        <v>Service</v>
      </c>
      <c r="D11" s="137">
        <f>'Qtr4'!K7</f>
        <v>0</v>
      </c>
      <c r="E11" s="8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</row>
    <row r="12" spans="1:28" ht="13.5" customHeight="1" x14ac:dyDescent="0.2">
      <c r="A12" s="3"/>
      <c r="B12" s="9"/>
      <c r="C12" s="41" t="str">
        <f>'Qtr4'!J8</f>
        <v>Parking</v>
      </c>
      <c r="D12" s="137">
        <f>'Qtr4'!K8</f>
        <v>0</v>
      </c>
      <c r="E12" s="8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</row>
    <row r="13" spans="1:28" ht="13.5" customHeight="1" x14ac:dyDescent="0.2">
      <c r="A13" s="3"/>
      <c r="B13" s="9"/>
      <c r="C13" s="41" t="str">
        <f>'Qtr4'!J9</f>
        <v>Public Transp</v>
      </c>
      <c r="D13" s="137">
        <f>'Qtr4'!K9</f>
        <v>0</v>
      </c>
      <c r="E13" s="10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</row>
    <row r="14" spans="1:28" ht="13.5" customHeight="1" thickBot="1" x14ac:dyDescent="0.25">
      <c r="A14" s="3"/>
      <c r="B14" s="9"/>
      <c r="C14" s="41" t="str">
        <f>'Qtr4'!J10</f>
        <v>Rego &amp; Fines</v>
      </c>
      <c r="D14" s="137">
        <f>'Qtr4'!K10</f>
        <v>0</v>
      </c>
      <c r="E14" s="8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</row>
    <row r="15" spans="1:28" ht="13.5" customHeight="1" thickTop="1" x14ac:dyDescent="0.2">
      <c r="A15" s="3"/>
      <c r="B15" s="94" t="str">
        <f>'Qtr3'!J5</f>
        <v>Transport</v>
      </c>
      <c r="C15" s="95"/>
      <c r="D15" s="140">
        <f>SUM(D10:D14)</f>
        <v>0</v>
      </c>
      <c r="E15" s="96"/>
      <c r="F15" s="3"/>
      <c r="G15" s="161" t="str">
        <f>"Expenses"</f>
        <v>Expenses</v>
      </c>
      <c r="H15" s="161"/>
      <c r="I15" s="161"/>
      <c r="J15" s="162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</row>
    <row r="16" spans="1:28" ht="13.5" customHeight="1" x14ac:dyDescent="0.25">
      <c r="A16" s="3"/>
      <c r="B16" s="9"/>
      <c r="C16" s="41" t="str">
        <f>'Qtr4'!G6</f>
        <v>Contents (NRMA)</v>
      </c>
      <c r="D16" s="137">
        <f>'Qtr4'!H6</f>
        <v>0</v>
      </c>
      <c r="E16" s="10"/>
      <c r="F16" s="3"/>
      <c r="H16" s="13" t="str">
        <f>$B$9</f>
        <v>Daily Living Expenses</v>
      </c>
      <c r="I16" s="75">
        <f>D9</f>
        <v>0</v>
      </c>
      <c r="J16" s="29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</row>
    <row r="17" spans="1:28" ht="13.5" customHeight="1" x14ac:dyDescent="0.25">
      <c r="A17" s="3"/>
      <c r="B17" s="9"/>
      <c r="C17" s="41" t="str">
        <f>'Qtr4'!G7</f>
        <v>Auto (NRMA)</v>
      </c>
      <c r="D17" s="137">
        <f>'Qtr4'!H7</f>
        <v>0</v>
      </c>
      <c r="E17" s="8"/>
      <c r="F17" s="3"/>
      <c r="H17" s="13" t="str">
        <f>$B$15</f>
        <v>Transport</v>
      </c>
      <c r="I17" s="75">
        <f>D15</f>
        <v>0</v>
      </c>
      <c r="J17" s="29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</row>
    <row r="18" spans="1:28" ht="13.5" customHeight="1" x14ac:dyDescent="0.25">
      <c r="A18" s="3"/>
      <c r="B18" s="9"/>
      <c r="C18" s="41" t="str">
        <f>'Qtr4'!G8</f>
        <v>RACQ</v>
      </c>
      <c r="D18" s="137">
        <f>'Qtr4'!H8</f>
        <v>0</v>
      </c>
      <c r="E18" s="8"/>
      <c r="F18" s="3"/>
      <c r="H18" s="13" t="str">
        <f>$B$19</f>
        <v>Insurance</v>
      </c>
      <c r="I18" s="75">
        <f>D19</f>
        <v>0</v>
      </c>
      <c r="J18" s="29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</row>
    <row r="19" spans="1:28" ht="13.5" customHeight="1" x14ac:dyDescent="0.25">
      <c r="A19" s="3"/>
      <c r="B19" s="94" t="str">
        <f>'Qtr3'!G5</f>
        <v>Insurance</v>
      </c>
      <c r="C19" s="95"/>
      <c r="D19" s="140">
        <f>SUM(D16:D18)</f>
        <v>0</v>
      </c>
      <c r="E19" s="96"/>
      <c r="F19" s="3"/>
      <c r="H19" s="13" t="str">
        <f>$B$22</f>
        <v>Medical</v>
      </c>
      <c r="I19" s="75">
        <f>D22</f>
        <v>0</v>
      </c>
      <c r="J19" s="2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</row>
    <row r="20" spans="1:28" ht="13.5" customHeight="1" x14ac:dyDescent="0.25">
      <c r="A20" s="3"/>
      <c r="B20" s="9"/>
      <c r="C20" s="41" t="str">
        <f>'Qtr4'!G12</f>
        <v>Meds - Surgery</v>
      </c>
      <c r="D20" s="137">
        <f>'Qtr4'!H12</f>
        <v>0</v>
      </c>
      <c r="E20" s="8"/>
      <c r="F20" s="3"/>
      <c r="H20" s="13" t="str">
        <f>$B$27</f>
        <v>Utilities - Rates</v>
      </c>
      <c r="I20" s="75">
        <f>D27</f>
        <v>0</v>
      </c>
      <c r="J20" s="29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</row>
    <row r="21" spans="1:28" ht="13.5" customHeight="1" x14ac:dyDescent="0.25">
      <c r="A21" s="3"/>
      <c r="B21" s="9"/>
      <c r="C21" s="41" t="str">
        <f>'Qtr4'!G13</f>
        <v>Alt Medicine</v>
      </c>
      <c r="D21" s="137">
        <f>'Qtr4'!H13</f>
        <v>0</v>
      </c>
      <c r="E21" s="8"/>
      <c r="F21" s="3"/>
      <c r="H21" s="13" t="str">
        <f>$B$35</f>
        <v>Sundry</v>
      </c>
      <c r="I21" s="75">
        <f>D35</f>
        <v>0</v>
      </c>
      <c r="J21" s="29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</row>
    <row r="22" spans="1:28" ht="13.5" customHeight="1" thickBot="1" x14ac:dyDescent="0.25">
      <c r="A22" s="3"/>
      <c r="B22" s="94" t="str">
        <f>'Qtr3'!G11</f>
        <v>Medical</v>
      </c>
      <c r="C22" s="95"/>
      <c r="D22" s="140">
        <f>SUM(D20:D21)</f>
        <v>0</v>
      </c>
      <c r="E22" s="96"/>
      <c r="F22" s="3"/>
      <c r="G22" s="7"/>
      <c r="H22" s="45" t="str">
        <f>"Totals :"</f>
        <v>Totals :</v>
      </c>
      <c r="I22" s="99">
        <f>SUM(I16:I21)</f>
        <v>0</v>
      </c>
      <c r="J22" s="1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</row>
    <row r="23" spans="1:28" ht="13.5" customHeight="1" thickTop="1" x14ac:dyDescent="0.2">
      <c r="A23" s="3"/>
      <c r="B23" s="9"/>
      <c r="C23" s="41" t="str">
        <f>'Qtr4'!M6</f>
        <v>Phone-Internet</v>
      </c>
      <c r="D23" s="137">
        <f>'Qtr4'!N6</f>
        <v>0</v>
      </c>
      <c r="E23" s="8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</row>
    <row r="24" spans="1:28" ht="13.5" customHeight="1" x14ac:dyDescent="0.2">
      <c r="A24" s="3"/>
      <c r="B24" s="9"/>
      <c r="C24" s="41" t="str">
        <f>'Qtr4'!M7</f>
        <v>IT</v>
      </c>
      <c r="D24" s="137">
        <f>'Qtr4'!N7</f>
        <v>0</v>
      </c>
      <c r="E24" s="8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</row>
    <row r="25" spans="1:28" ht="13.5" customHeight="1" x14ac:dyDescent="0.2">
      <c r="A25" s="3"/>
      <c r="B25" s="9"/>
      <c r="C25" s="41" t="str">
        <f>'Qtr4'!M8</f>
        <v>Electricity</v>
      </c>
      <c r="D25" s="137">
        <f>'Qtr4'!N8</f>
        <v>0</v>
      </c>
      <c r="E25" s="8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</row>
    <row r="26" spans="1:28" ht="13.5" customHeight="1" x14ac:dyDescent="0.2">
      <c r="A26" s="3"/>
      <c r="B26" s="51"/>
      <c r="C26" s="41" t="str">
        <f>'Qtr4'!M9</f>
        <v>Rates</v>
      </c>
      <c r="D26" s="137">
        <f>'Qtr4'!N9</f>
        <v>0</v>
      </c>
      <c r="E26" s="8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</row>
    <row r="27" spans="1:28" ht="13.5" customHeight="1" x14ac:dyDescent="0.2">
      <c r="A27" s="3"/>
      <c r="B27" s="94" t="str">
        <f>'Qtr3'!M5</f>
        <v>Utilities - Rates</v>
      </c>
      <c r="C27" s="95"/>
      <c r="D27" s="140">
        <f>SUM(D23:D26)</f>
        <v>0</v>
      </c>
      <c r="E27" s="96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</row>
    <row r="28" spans="1:28" ht="13.5" customHeight="1" x14ac:dyDescent="0.2">
      <c r="A28" s="3"/>
      <c r="B28" s="9"/>
      <c r="C28" s="41" t="str">
        <f>'Qtr4'!M12</f>
        <v>Gifts</v>
      </c>
      <c r="D28" s="135">
        <f>'Qtr4'!N12</f>
        <v>0</v>
      </c>
      <c r="E28" s="8"/>
      <c r="F28" s="3"/>
      <c r="G28" s="3"/>
      <c r="H28" s="100" t="s">
        <v>53</v>
      </c>
      <c r="I28" s="90">
        <f>I8</f>
        <v>0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</row>
    <row r="29" spans="1:28" ht="13.5" customHeight="1" thickBot="1" x14ac:dyDescent="0.25">
      <c r="A29" s="3"/>
      <c r="B29" s="9"/>
      <c r="C29" s="41" t="str">
        <f>'Qtr4'!M13</f>
        <v>Donations</v>
      </c>
      <c r="D29" s="135">
        <f>'Qtr4'!N13</f>
        <v>0</v>
      </c>
      <c r="E29" s="8"/>
      <c r="F29" s="3"/>
      <c r="G29" s="3"/>
      <c r="H29" s="101" t="s">
        <v>54</v>
      </c>
      <c r="I29" s="93">
        <f>I22</f>
        <v>0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</row>
    <row r="30" spans="1:28" ht="13.5" customHeight="1" thickTop="1" x14ac:dyDescent="0.2">
      <c r="A30" s="3"/>
      <c r="B30" s="9"/>
      <c r="C30" s="41" t="str">
        <f>'Qtr4'!M14</f>
        <v>Rob's Hobbies</v>
      </c>
      <c r="D30" s="135">
        <f>'Qtr4'!N14</f>
        <v>0</v>
      </c>
      <c r="E30" s="8"/>
      <c r="F30" s="3"/>
      <c r="G30" s="3"/>
      <c r="H30" s="20" t="s">
        <v>55</v>
      </c>
      <c r="I30" s="134">
        <f>I28-I29</f>
        <v>0</v>
      </c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</row>
    <row r="31" spans="1:28" ht="13.5" customHeight="1" x14ac:dyDescent="0.2">
      <c r="A31" s="3"/>
      <c r="B31" s="9"/>
      <c r="C31" s="41" t="str">
        <f>'Qtr4'!M15</f>
        <v>Julia's Hobbies</v>
      </c>
      <c r="D31" s="135">
        <f>'Qtr4'!N15</f>
        <v>0</v>
      </c>
      <c r="E31" s="8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</row>
    <row r="32" spans="1:28" ht="13.5" customHeight="1" x14ac:dyDescent="0.2">
      <c r="A32" s="3"/>
      <c r="B32" s="51"/>
      <c r="C32" s="41" t="str">
        <f>'Qtr3'!J16</f>
        <v>Holidays</v>
      </c>
      <c r="D32" s="135">
        <f>'Qtr4'!K17+'Qtr4'!K18</f>
        <v>0</v>
      </c>
      <c r="E32" s="8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</row>
    <row r="33" spans="1:28" ht="13.5" customHeight="1" x14ac:dyDescent="0.3">
      <c r="A33" s="3"/>
      <c r="B33" s="9"/>
      <c r="D33" s="136"/>
      <c r="E33" s="8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</row>
    <row r="34" spans="1:28" ht="13.5" customHeight="1" x14ac:dyDescent="0.3">
      <c r="A34" s="3"/>
      <c r="B34" s="9"/>
      <c r="D34" s="136"/>
      <c r="E34" s="8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 ht="13.5" customHeight="1" x14ac:dyDescent="0.2">
      <c r="A35" s="3"/>
      <c r="B35" s="94" t="str">
        <f>'Qtr3'!M11</f>
        <v>Sundry</v>
      </c>
      <c r="C35" s="95"/>
      <c r="D35" s="140">
        <f>SUM(D28:D33)</f>
        <v>0</v>
      </c>
      <c r="E35" s="9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</row>
    <row r="36" spans="1:28" ht="13.5" customHeight="1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</row>
    <row r="37" spans="1:28" ht="13.5" customHeight="1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</row>
    <row r="38" spans="1:28" ht="13.5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</row>
    <row r="39" spans="1:28" ht="13.5" customHeight="1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</row>
    <row r="40" spans="1:28" ht="13.5" customHeight="1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</row>
    <row r="41" spans="1:28" ht="13.5" customHeight="1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</row>
    <row r="42" spans="1:28" ht="13.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</row>
    <row r="43" spans="1:28" ht="13.5" customHeight="1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 ht="13.5" customHeight="1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 ht="12.75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 ht="12.75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 ht="12.75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 ht="12.75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1:28" ht="12.75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1:28" ht="12.75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1:28" ht="12.75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1:28" ht="12.75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1:28" ht="12.75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1:28" ht="12.75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1:28" ht="12.75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1:28" ht="12.75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1:28" ht="12.75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</row>
    <row r="58" spans="1:28" ht="12.75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</row>
    <row r="59" spans="1:28" ht="12.75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</row>
    <row r="60" spans="1:28" ht="12.75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</row>
    <row r="61" spans="1:28" ht="12.75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</row>
    <row r="62" spans="1:28" ht="12.75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</row>
    <row r="63" spans="1:28" ht="12.75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</row>
    <row r="64" spans="1:28" ht="12.75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</row>
    <row r="65" spans="1:28" ht="12.75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</row>
    <row r="66" spans="1:28" ht="12.75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</row>
    <row r="67" spans="1:28" ht="12.75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</row>
    <row r="68" spans="1:28" ht="12.75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</row>
    <row r="69" spans="1:28" ht="12.75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</row>
    <row r="70" spans="1:28" ht="12.75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</row>
    <row r="71" spans="1:28" ht="12.75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</row>
    <row r="72" spans="1:28" ht="12.75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</row>
    <row r="73" spans="1:28" ht="12.75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</row>
    <row r="74" spans="1:28" ht="12.75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</row>
    <row r="75" spans="1:28" ht="12.75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</row>
    <row r="76" spans="1:28" ht="12.75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</row>
    <row r="77" spans="1:28" ht="12.75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</row>
    <row r="78" spans="1:28" ht="12.75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</row>
    <row r="79" spans="1:28" ht="12.75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</row>
    <row r="80" spans="1:28" ht="12.75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</row>
    <row r="81" spans="1:28" ht="12.75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</row>
    <row r="82" spans="1:28" ht="12.75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</row>
    <row r="83" spans="1:28" ht="12.75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</row>
    <row r="84" spans="1:28" ht="12.75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</row>
    <row r="85" spans="1:28" ht="12.75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</row>
    <row r="86" spans="1:28" ht="12.75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</row>
    <row r="87" spans="1:28" ht="12.75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</row>
    <row r="88" spans="1:28" ht="12.75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</row>
    <row r="89" spans="1:28" ht="12.75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</row>
    <row r="90" spans="1:28" ht="12.75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</row>
  </sheetData>
  <mergeCells count="3">
    <mergeCell ref="B2:E2"/>
    <mergeCell ref="G2:J2"/>
    <mergeCell ref="G15:J15"/>
  </mergeCells>
  <pageMargins left="0.74791666666666701" right="0.74791666666666701" top="0.98402777777777795" bottom="0.98402777777777795" header="0.51180555555555496" footer="0.51180555555555496"/>
  <pageSetup paperSize="9" firstPageNumber="0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E9C23-AAF6-4B0D-941A-BE17592C1BBC}">
  <sheetPr codeName="shzmeta">
    <tabColor rgb="FFFF0000"/>
  </sheetPr>
  <dimension ref="A1:E118"/>
  <sheetViews>
    <sheetView showGridLines="0" zoomScaleNormal="100" workbookViewId="0">
      <selection activeCell="B2" sqref="B2"/>
    </sheetView>
  </sheetViews>
  <sheetFormatPr defaultColWidth="8.85546875" defaultRowHeight="12.75" x14ac:dyDescent="0.2"/>
  <cols>
    <col min="1" max="1" width="13.5703125" style="110" customWidth="1"/>
    <col min="2" max="2" width="65.28515625" style="110" customWidth="1"/>
    <col min="5" max="5" width="8.85546875" style="54"/>
  </cols>
  <sheetData>
    <row r="1" spans="1:2" x14ac:dyDescent="0.2">
      <c r="A1" s="109" t="s">
        <v>70</v>
      </c>
      <c r="B1" s="141" t="s">
        <v>137</v>
      </c>
    </row>
    <row r="2" spans="1:2" x14ac:dyDescent="0.2">
      <c r="A2" s="109" t="s">
        <v>71</v>
      </c>
      <c r="B2" s="109" t="s">
        <v>72</v>
      </c>
    </row>
    <row r="3" spans="1:2" x14ac:dyDescent="0.2">
      <c r="A3" s="109" t="s">
        <v>66</v>
      </c>
      <c r="B3" s="109" t="s">
        <v>67</v>
      </c>
    </row>
    <row r="4" spans="1:2" x14ac:dyDescent="0.2">
      <c r="A4" s="109" t="s">
        <v>68</v>
      </c>
      <c r="B4" s="109" t="s">
        <v>73</v>
      </c>
    </row>
    <row r="5" spans="1:2" x14ac:dyDescent="0.2">
      <c r="A5" s="109" t="s">
        <v>69</v>
      </c>
      <c r="B5" s="109" t="s">
        <v>74</v>
      </c>
    </row>
    <row r="6" spans="1:2" x14ac:dyDescent="0.2">
      <c r="A6" s="109" t="s">
        <v>136</v>
      </c>
      <c r="B6" s="109" t="s">
        <v>135</v>
      </c>
    </row>
    <row r="7" spans="1:2" x14ac:dyDescent="0.2">
      <c r="A7" s="109"/>
      <c r="B7" s="109"/>
    </row>
    <row r="8" spans="1:2" x14ac:dyDescent="0.2">
      <c r="A8" s="109"/>
      <c r="B8" s="109"/>
    </row>
    <row r="9" spans="1:2" x14ac:dyDescent="0.2">
      <c r="A9" s="109"/>
      <c r="B9" s="109"/>
    </row>
    <row r="10" spans="1:2" x14ac:dyDescent="0.2">
      <c r="A10" s="109"/>
      <c r="B10" s="109"/>
    </row>
    <row r="11" spans="1:2" x14ac:dyDescent="0.2">
      <c r="A11" s="109"/>
      <c r="B11" s="109"/>
    </row>
    <row r="12" spans="1:2" x14ac:dyDescent="0.2">
      <c r="A12" s="109"/>
      <c r="B12" s="109"/>
    </row>
    <row r="13" spans="1:2" x14ac:dyDescent="0.2">
      <c r="A13" s="109"/>
      <c r="B13" s="109"/>
    </row>
    <row r="14" spans="1:2" x14ac:dyDescent="0.2">
      <c r="A14" s="109"/>
      <c r="B14" s="109"/>
    </row>
    <row r="15" spans="1:2" x14ac:dyDescent="0.2">
      <c r="A15" s="109"/>
      <c r="B15" s="109"/>
    </row>
    <row r="17" spans="1:2" x14ac:dyDescent="0.2">
      <c r="B17"/>
    </row>
    <row r="18" spans="1:2" x14ac:dyDescent="0.2">
      <c r="B18"/>
    </row>
    <row r="19" spans="1:2" x14ac:dyDescent="0.2">
      <c r="A19" s="26"/>
      <c r="B19"/>
    </row>
    <row r="20" spans="1:2" x14ac:dyDescent="0.2">
      <c r="A20" s="26"/>
      <c r="B20"/>
    </row>
    <row r="21" spans="1:2" x14ac:dyDescent="0.2">
      <c r="A21" s="26"/>
    </row>
    <row r="22" spans="1:2" x14ac:dyDescent="0.2">
      <c r="A22" s="26"/>
    </row>
    <row r="23" spans="1:2" x14ac:dyDescent="0.2">
      <c r="A23" s="26"/>
    </row>
    <row r="24" spans="1:2" x14ac:dyDescent="0.2">
      <c r="A24" s="26"/>
    </row>
    <row r="25" spans="1:2" x14ac:dyDescent="0.2">
      <c r="A25" s="26"/>
      <c r="B25"/>
    </row>
    <row r="26" spans="1:2" x14ac:dyDescent="0.2">
      <c r="A26" s="26"/>
      <c r="B26"/>
    </row>
    <row r="27" spans="1:2" x14ac:dyDescent="0.2">
      <c r="A27" s="26"/>
      <c r="B27"/>
    </row>
    <row r="28" spans="1:2" x14ac:dyDescent="0.2">
      <c r="A28" s="26"/>
      <c r="B28"/>
    </row>
    <row r="29" spans="1:2" x14ac:dyDescent="0.2">
      <c r="A29" s="26"/>
      <c r="B29"/>
    </row>
    <row r="30" spans="1:2" x14ac:dyDescent="0.2">
      <c r="A30" s="26"/>
      <c r="B30"/>
    </row>
    <row r="31" spans="1:2" x14ac:dyDescent="0.2">
      <c r="A31" s="26"/>
      <c r="B31"/>
    </row>
    <row r="32" spans="1:2" x14ac:dyDescent="0.2">
      <c r="A32" s="26"/>
      <c r="B32"/>
    </row>
    <row r="33" spans="1:2" x14ac:dyDescent="0.2">
      <c r="A33" s="26"/>
      <c r="B33"/>
    </row>
    <row r="34" spans="1:2" x14ac:dyDescent="0.2">
      <c r="A34" s="26"/>
      <c r="B34"/>
    </row>
    <row r="35" spans="1:2" x14ac:dyDescent="0.2">
      <c r="A35" s="26"/>
      <c r="B35"/>
    </row>
    <row r="36" spans="1:2" x14ac:dyDescent="0.2">
      <c r="A36" s="26"/>
      <c r="B36"/>
    </row>
    <row r="37" spans="1:2" x14ac:dyDescent="0.2">
      <c r="A37" s="26"/>
      <c r="B37"/>
    </row>
    <row r="38" spans="1:2" x14ac:dyDescent="0.2">
      <c r="A38" s="26"/>
      <c r="B38"/>
    </row>
    <row r="39" spans="1:2" x14ac:dyDescent="0.2">
      <c r="A39" s="26"/>
      <c r="B39"/>
    </row>
    <row r="40" spans="1:2" x14ac:dyDescent="0.2">
      <c r="A40" s="26"/>
      <c r="B40"/>
    </row>
    <row r="41" spans="1:2" x14ac:dyDescent="0.2">
      <c r="A41" s="26"/>
      <c r="B41"/>
    </row>
    <row r="42" spans="1:2" x14ac:dyDescent="0.2">
      <c r="A42" s="26"/>
      <c r="B42"/>
    </row>
    <row r="43" spans="1:2" x14ac:dyDescent="0.2">
      <c r="A43" s="26"/>
      <c r="B43"/>
    </row>
    <row r="44" spans="1:2" x14ac:dyDescent="0.2">
      <c r="A44" s="26"/>
      <c r="B44"/>
    </row>
    <row r="45" spans="1:2" x14ac:dyDescent="0.2">
      <c r="A45" s="26"/>
      <c r="B45"/>
    </row>
    <row r="46" spans="1:2" x14ac:dyDescent="0.2">
      <c r="A46" s="26"/>
      <c r="B46"/>
    </row>
    <row r="47" spans="1:2" x14ac:dyDescent="0.2">
      <c r="A47" s="26"/>
      <c r="B47"/>
    </row>
    <row r="48" spans="1:2" x14ac:dyDescent="0.2">
      <c r="A48" s="26"/>
      <c r="B48"/>
    </row>
    <row r="49" spans="1:2" x14ac:dyDescent="0.2">
      <c r="A49" s="26"/>
    </row>
    <row r="50" spans="1:2" x14ac:dyDescent="0.2">
      <c r="A50" s="26"/>
    </row>
    <row r="51" spans="1:2" x14ac:dyDescent="0.2">
      <c r="A51" s="26"/>
    </row>
    <row r="52" spans="1:2" x14ac:dyDescent="0.2">
      <c r="A52" s="26"/>
    </row>
    <row r="53" spans="1:2" x14ac:dyDescent="0.2">
      <c r="A53" s="26"/>
      <c r="B53"/>
    </row>
    <row r="54" spans="1:2" x14ac:dyDescent="0.2">
      <c r="A54" s="26"/>
      <c r="B54"/>
    </row>
    <row r="55" spans="1:2" x14ac:dyDescent="0.2">
      <c r="B55"/>
    </row>
    <row r="56" spans="1:2" x14ac:dyDescent="0.2">
      <c r="B56"/>
    </row>
    <row r="58" spans="1:2" x14ac:dyDescent="0.2">
      <c r="B58"/>
    </row>
    <row r="59" spans="1:2" x14ac:dyDescent="0.2">
      <c r="B59"/>
    </row>
    <row r="60" spans="1:2" x14ac:dyDescent="0.2">
      <c r="B60"/>
    </row>
    <row r="61" spans="1:2" x14ac:dyDescent="0.2">
      <c r="B61"/>
    </row>
    <row r="62" spans="1:2" x14ac:dyDescent="0.2">
      <c r="B62"/>
    </row>
    <row r="63" spans="1:2" x14ac:dyDescent="0.2">
      <c r="B63"/>
    </row>
    <row r="64" spans="1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</sheetData>
  <sortState xmlns:xlrd2="http://schemas.microsoft.com/office/spreadsheetml/2017/richdata2" ref="A1:B6">
    <sortCondition ref="A1:A6"/>
  </sortState>
  <hyperlinks>
    <hyperlink ref="B1" r:id="rId1" xr:uid="{496CD108-1F12-4B0C-A363-AD9CA9181C14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BA0E3-9F0E-4FD5-8774-710F2124FA1F}">
  <sheetPr codeName="shqsuper">
    <tabColor theme="4" tint="-0.249977111117893"/>
  </sheetPr>
  <dimension ref="A1:N393"/>
  <sheetViews>
    <sheetView showGridLines="0" zoomScaleNormal="100" workbookViewId="0">
      <pane ySplit="9" topLeftCell="A213" activePane="bottomLeft" state="frozen"/>
      <selection pane="bottomLeft" activeCell="A213" sqref="A213"/>
    </sheetView>
  </sheetViews>
  <sheetFormatPr defaultColWidth="8.85546875" defaultRowHeight="12.75" x14ac:dyDescent="0.2"/>
  <cols>
    <col min="1" max="1" width="10.7109375" style="16" customWidth="1"/>
    <col min="2" max="2" width="15.140625" customWidth="1"/>
    <col min="3" max="3" width="1.42578125" customWidth="1"/>
    <col min="4" max="4" width="43.42578125" customWidth="1"/>
    <col min="5" max="5" width="17" customWidth="1"/>
    <col min="6" max="6" width="14.42578125" customWidth="1"/>
    <col min="7" max="7" width="11.42578125" customWidth="1"/>
    <col min="8" max="8" width="16.42578125" customWidth="1"/>
    <col min="9" max="9" width="10.85546875" customWidth="1"/>
    <col min="11" max="11" width="160.28515625" customWidth="1"/>
  </cols>
  <sheetData>
    <row r="1" spans="1:14" ht="18" customHeight="1" x14ac:dyDescent="0.25">
      <c r="A1" s="163" t="s">
        <v>30</v>
      </c>
      <c r="B1" s="163"/>
      <c r="C1" s="22"/>
      <c r="D1" s="23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14" ht="3" customHeight="1" x14ac:dyDescent="0.25">
      <c r="A2" s="70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14" ht="3" customHeight="1" x14ac:dyDescent="0.25">
      <c r="A3" s="70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</row>
    <row r="4" spans="1:14" ht="3" customHeight="1" x14ac:dyDescent="0.25">
      <c r="A4" s="70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</row>
    <row r="5" spans="1:14" ht="3" customHeight="1" x14ac:dyDescent="0.25">
      <c r="A5" s="70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</row>
    <row r="6" spans="1:14" ht="3" customHeight="1" x14ac:dyDescent="0.25">
      <c r="A6" s="70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</row>
    <row r="7" spans="1:14" ht="3" customHeight="1" x14ac:dyDescent="0.25">
      <c r="A7" s="70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</row>
    <row r="8" spans="1:14" ht="15.75" x14ac:dyDescent="0.25">
      <c r="I8" s="22"/>
      <c r="J8" s="22"/>
      <c r="K8" s="22"/>
      <c r="L8" s="22"/>
      <c r="M8" s="22"/>
      <c r="N8" s="22"/>
    </row>
    <row r="9" spans="1:14" ht="15.75" customHeight="1" x14ac:dyDescent="0.25">
      <c r="A9" s="72" t="s">
        <v>1</v>
      </c>
      <c r="B9" s="32" t="s">
        <v>31</v>
      </c>
      <c r="C9" s="33"/>
      <c r="D9" s="33" t="s">
        <v>19</v>
      </c>
      <c r="E9" s="33" t="s">
        <v>3</v>
      </c>
      <c r="F9" s="33" t="s">
        <v>32</v>
      </c>
      <c r="G9" s="33" t="s">
        <v>33</v>
      </c>
      <c r="H9" s="33" t="s">
        <v>20</v>
      </c>
      <c r="I9" s="22"/>
      <c r="J9" s="22"/>
      <c r="K9" s="22"/>
      <c r="L9" s="22"/>
      <c r="M9" s="22"/>
      <c r="N9" s="22"/>
    </row>
    <row r="10" spans="1:14" ht="15.75" x14ac:dyDescent="0.25">
      <c r="A10" s="16">
        <v>43084</v>
      </c>
      <c r="B10" s="27" t="s">
        <v>21</v>
      </c>
      <c r="C10" s="2" t="s">
        <v>22</v>
      </c>
      <c r="D10" s="2" t="s">
        <v>25</v>
      </c>
      <c r="E10" s="2" t="s">
        <v>26</v>
      </c>
      <c r="F10" s="26">
        <v>355.23</v>
      </c>
      <c r="G10" s="26">
        <v>-53.28</v>
      </c>
      <c r="H10" s="26">
        <v>301.95</v>
      </c>
      <c r="I10" s="22"/>
      <c r="J10" s="22"/>
      <c r="K10" s="22"/>
      <c r="L10" s="22"/>
      <c r="M10" s="22"/>
      <c r="N10" s="22"/>
    </row>
    <row r="11" spans="1:14" ht="15.75" x14ac:dyDescent="0.25">
      <c r="A11" s="16">
        <v>43084</v>
      </c>
      <c r="B11" s="27" t="s">
        <v>21</v>
      </c>
      <c r="C11" s="2" t="s">
        <v>22</v>
      </c>
      <c r="D11" s="2" t="s">
        <v>27</v>
      </c>
      <c r="E11" s="2" t="s">
        <v>26</v>
      </c>
      <c r="F11" s="26">
        <v>139.31</v>
      </c>
      <c r="G11" s="26">
        <v>-20.9</v>
      </c>
      <c r="H11" s="26">
        <v>118.41</v>
      </c>
      <c r="I11" s="22"/>
      <c r="J11" s="22"/>
      <c r="K11" s="22"/>
      <c r="L11" s="22"/>
      <c r="M11" s="22"/>
      <c r="N11" s="22"/>
    </row>
    <row r="12" spans="1:14" ht="15.75" x14ac:dyDescent="0.25">
      <c r="A12" s="16">
        <v>43103</v>
      </c>
      <c r="B12" s="27" t="s">
        <v>21</v>
      </c>
      <c r="C12" s="2" t="s">
        <v>22</v>
      </c>
      <c r="D12" s="2" t="s">
        <v>25</v>
      </c>
      <c r="E12" s="2" t="s">
        <v>26</v>
      </c>
      <c r="F12" s="26">
        <v>355.23</v>
      </c>
      <c r="G12" s="26">
        <v>-53.28</v>
      </c>
      <c r="H12" s="26">
        <v>301.95</v>
      </c>
      <c r="I12" s="22"/>
      <c r="J12" s="22"/>
      <c r="K12" s="22"/>
      <c r="L12" s="22"/>
      <c r="M12" s="22"/>
      <c r="N12" s="22"/>
    </row>
    <row r="13" spans="1:14" ht="15.75" x14ac:dyDescent="0.25">
      <c r="A13" s="16">
        <v>43103</v>
      </c>
      <c r="B13" s="27" t="s">
        <v>21</v>
      </c>
      <c r="C13" s="2" t="s">
        <v>22</v>
      </c>
      <c r="D13" s="2" t="s">
        <v>27</v>
      </c>
      <c r="E13" s="2" t="s">
        <v>26</v>
      </c>
      <c r="F13" s="26">
        <v>139.31</v>
      </c>
      <c r="G13" s="26">
        <v>-20.9</v>
      </c>
      <c r="H13" s="26">
        <v>118.41</v>
      </c>
      <c r="I13" s="22"/>
      <c r="J13" s="22"/>
      <c r="K13" s="22"/>
      <c r="L13" s="22"/>
      <c r="M13" s="22"/>
      <c r="N13" s="22"/>
    </row>
    <row r="14" spans="1:14" ht="15.75" x14ac:dyDescent="0.25">
      <c r="A14" s="16">
        <v>43112</v>
      </c>
      <c r="B14" s="27" t="s">
        <v>21</v>
      </c>
      <c r="C14" s="2" t="s">
        <v>22</v>
      </c>
      <c r="D14" s="2" t="s">
        <v>25</v>
      </c>
      <c r="E14" s="2" t="s">
        <v>26</v>
      </c>
      <c r="F14" s="26">
        <v>355.23</v>
      </c>
      <c r="G14" s="26">
        <v>-53.28</v>
      </c>
      <c r="H14" s="26">
        <v>301.95</v>
      </c>
      <c r="I14" s="22"/>
      <c r="J14" s="22"/>
      <c r="K14" s="22"/>
      <c r="L14" s="22"/>
      <c r="M14" s="22"/>
      <c r="N14" s="22"/>
    </row>
    <row r="15" spans="1:14" ht="15.75" x14ac:dyDescent="0.25">
      <c r="A15" s="16">
        <v>43112</v>
      </c>
      <c r="B15" s="27" t="s">
        <v>21</v>
      </c>
      <c r="C15" s="2" t="s">
        <v>22</v>
      </c>
      <c r="D15" s="2" t="s">
        <v>27</v>
      </c>
      <c r="E15" s="2" t="s">
        <v>26</v>
      </c>
      <c r="F15" s="26">
        <v>139.31</v>
      </c>
      <c r="G15" s="26">
        <v>-20.9</v>
      </c>
      <c r="H15" s="26">
        <v>118.41</v>
      </c>
      <c r="I15" s="22"/>
      <c r="J15" s="22"/>
      <c r="K15" s="22"/>
      <c r="L15" s="22"/>
      <c r="M15" s="22"/>
      <c r="N15" s="22"/>
    </row>
    <row r="16" spans="1:14" ht="15.75" x14ac:dyDescent="0.25">
      <c r="A16" s="16">
        <v>43113</v>
      </c>
      <c r="B16" s="27" t="s">
        <v>21</v>
      </c>
      <c r="C16" s="2" t="s">
        <v>22</v>
      </c>
      <c r="D16" s="2" t="s">
        <v>23</v>
      </c>
      <c r="E16" s="2" t="s">
        <v>24</v>
      </c>
      <c r="F16" s="26">
        <v>-9.57</v>
      </c>
      <c r="G16" s="26">
        <v>0</v>
      </c>
      <c r="H16" s="26">
        <v>-9.57</v>
      </c>
      <c r="I16" s="22"/>
      <c r="J16" s="22"/>
      <c r="K16" s="22"/>
      <c r="L16" s="22"/>
      <c r="M16" s="22"/>
      <c r="N16" s="22"/>
    </row>
    <row r="17" spans="1:14" ht="15.75" x14ac:dyDescent="0.25">
      <c r="A17" s="16">
        <v>43129</v>
      </c>
      <c r="B17" s="27" t="s">
        <v>21</v>
      </c>
      <c r="C17" s="2" t="s">
        <v>22</v>
      </c>
      <c r="D17" s="2" t="s">
        <v>25</v>
      </c>
      <c r="E17" s="2" t="s">
        <v>26</v>
      </c>
      <c r="F17" s="26">
        <v>355.23</v>
      </c>
      <c r="G17" s="26">
        <v>-53.28</v>
      </c>
      <c r="H17" s="26">
        <v>301.95</v>
      </c>
      <c r="I17" s="22"/>
      <c r="J17" s="22"/>
      <c r="K17" s="22"/>
      <c r="L17" s="22"/>
      <c r="M17" s="22"/>
      <c r="N17" s="22"/>
    </row>
    <row r="18" spans="1:14" ht="15.75" x14ac:dyDescent="0.25">
      <c r="A18" s="16">
        <v>43129</v>
      </c>
      <c r="B18" s="27" t="s">
        <v>21</v>
      </c>
      <c r="C18" s="2" t="s">
        <v>22</v>
      </c>
      <c r="D18" s="2" t="s">
        <v>27</v>
      </c>
      <c r="E18" s="2" t="s">
        <v>26</v>
      </c>
      <c r="F18" s="26">
        <v>139.31</v>
      </c>
      <c r="G18" s="26">
        <v>-20.9</v>
      </c>
      <c r="H18" s="26">
        <v>118.41</v>
      </c>
      <c r="I18" s="22"/>
      <c r="J18" s="22"/>
      <c r="K18" s="22"/>
      <c r="L18" s="22"/>
      <c r="M18" s="22"/>
      <c r="N18" s="22"/>
    </row>
    <row r="19" spans="1:14" ht="15.75" x14ac:dyDescent="0.25">
      <c r="A19" s="16">
        <v>43140</v>
      </c>
      <c r="B19" s="27" t="s">
        <v>21</v>
      </c>
      <c r="C19" s="2" t="s">
        <v>22</v>
      </c>
      <c r="D19" s="2" t="s">
        <v>25</v>
      </c>
      <c r="E19" s="2" t="s">
        <v>26</v>
      </c>
      <c r="F19" s="26">
        <v>355.23</v>
      </c>
      <c r="G19" s="26">
        <v>-53.28</v>
      </c>
      <c r="H19" s="26">
        <v>301.95</v>
      </c>
      <c r="I19" s="22"/>
      <c r="J19" s="22"/>
      <c r="K19" s="22"/>
      <c r="L19" s="22"/>
      <c r="M19" s="22"/>
      <c r="N19" s="22"/>
    </row>
    <row r="20" spans="1:14" ht="15.75" x14ac:dyDescent="0.25">
      <c r="A20" s="16">
        <v>43140</v>
      </c>
      <c r="B20" s="27" t="s">
        <v>21</v>
      </c>
      <c r="C20" s="2" t="s">
        <v>22</v>
      </c>
      <c r="D20" s="2" t="s">
        <v>27</v>
      </c>
      <c r="E20" s="2" t="s">
        <v>26</v>
      </c>
      <c r="F20" s="26">
        <v>139.31</v>
      </c>
      <c r="G20" s="26">
        <v>-20.9</v>
      </c>
      <c r="H20" s="26">
        <v>118.41</v>
      </c>
      <c r="I20" s="22"/>
      <c r="J20" s="22"/>
      <c r="K20" s="22"/>
      <c r="L20" s="22"/>
      <c r="M20" s="22"/>
      <c r="N20" s="22"/>
    </row>
    <row r="21" spans="1:14" ht="15.75" x14ac:dyDescent="0.25">
      <c r="A21" s="16">
        <v>43141</v>
      </c>
      <c r="B21" s="27" t="s">
        <v>21</v>
      </c>
      <c r="C21" s="2" t="s">
        <v>22</v>
      </c>
      <c r="D21" s="2" t="s">
        <v>23</v>
      </c>
      <c r="E21" s="2" t="s">
        <v>24</v>
      </c>
      <c r="F21" s="26">
        <v>-9.57</v>
      </c>
      <c r="G21" s="26">
        <v>0</v>
      </c>
      <c r="H21" s="26">
        <v>-9.57</v>
      </c>
      <c r="I21" s="22"/>
      <c r="J21" s="22"/>
      <c r="K21" s="22"/>
      <c r="L21" s="22"/>
      <c r="M21" s="22"/>
      <c r="N21" s="22"/>
    </row>
    <row r="22" spans="1:14" ht="15.75" x14ac:dyDescent="0.25">
      <c r="A22" s="16">
        <v>43154</v>
      </c>
      <c r="B22" s="27" t="s">
        <v>21</v>
      </c>
      <c r="C22" s="2" t="s">
        <v>22</v>
      </c>
      <c r="D22" s="2" t="s">
        <v>25</v>
      </c>
      <c r="E22" s="2" t="s">
        <v>26</v>
      </c>
      <c r="F22" s="26">
        <v>355.23</v>
      </c>
      <c r="G22" s="26">
        <v>-53.28</v>
      </c>
      <c r="H22" s="26">
        <v>301.95</v>
      </c>
      <c r="I22" s="22"/>
      <c r="J22" s="22"/>
      <c r="K22" s="22"/>
      <c r="L22" s="22"/>
      <c r="M22" s="22"/>
      <c r="N22" s="22"/>
    </row>
    <row r="23" spans="1:14" ht="15.75" x14ac:dyDescent="0.25">
      <c r="A23" s="16">
        <v>43154</v>
      </c>
      <c r="B23" s="27" t="s">
        <v>21</v>
      </c>
      <c r="C23" s="2" t="s">
        <v>22</v>
      </c>
      <c r="D23" s="2" t="s">
        <v>27</v>
      </c>
      <c r="E23" s="2" t="s">
        <v>26</v>
      </c>
      <c r="F23" s="26">
        <v>139.31</v>
      </c>
      <c r="G23" s="26">
        <v>-20.9</v>
      </c>
      <c r="H23" s="26">
        <v>118.41</v>
      </c>
      <c r="I23" s="22"/>
      <c r="J23" s="22"/>
      <c r="K23" s="22"/>
      <c r="L23" s="22"/>
      <c r="M23" s="22"/>
      <c r="N23" s="22"/>
    </row>
    <row r="24" spans="1:14" ht="15.75" x14ac:dyDescent="0.25">
      <c r="A24" s="16">
        <v>43168</v>
      </c>
      <c r="B24" s="27" t="s">
        <v>21</v>
      </c>
      <c r="C24" s="2" t="s">
        <v>22</v>
      </c>
      <c r="D24" s="2" t="s">
        <v>25</v>
      </c>
      <c r="E24" s="2" t="s">
        <v>26</v>
      </c>
      <c r="F24" s="26">
        <v>355.23</v>
      </c>
      <c r="G24" s="26">
        <v>-53.28</v>
      </c>
      <c r="H24" s="26">
        <v>301.95</v>
      </c>
      <c r="I24" s="22"/>
      <c r="J24" s="22"/>
      <c r="K24" s="22"/>
      <c r="L24" s="22"/>
      <c r="M24" s="22"/>
      <c r="N24" s="22"/>
    </row>
    <row r="25" spans="1:14" ht="15.75" x14ac:dyDescent="0.25">
      <c r="A25" s="16">
        <v>43168</v>
      </c>
      <c r="B25" s="27" t="s">
        <v>21</v>
      </c>
      <c r="C25" s="2" t="s">
        <v>22</v>
      </c>
      <c r="D25" s="2" t="s">
        <v>27</v>
      </c>
      <c r="E25" s="2" t="s">
        <v>26</v>
      </c>
      <c r="F25" s="26">
        <v>139.31</v>
      </c>
      <c r="G25" s="26">
        <v>-20.9</v>
      </c>
      <c r="H25" s="26">
        <v>118.41</v>
      </c>
      <c r="I25" s="22"/>
      <c r="J25" s="22"/>
      <c r="K25" s="22"/>
      <c r="L25" s="22"/>
      <c r="M25" s="22"/>
      <c r="N25" s="22"/>
    </row>
    <row r="26" spans="1:14" ht="15.75" x14ac:dyDescent="0.25">
      <c r="A26" s="16">
        <v>43169</v>
      </c>
      <c r="B26" s="27" t="s">
        <v>21</v>
      </c>
      <c r="C26" s="2" t="s">
        <v>22</v>
      </c>
      <c r="D26" s="2" t="s">
        <v>23</v>
      </c>
      <c r="E26" s="2" t="s">
        <v>24</v>
      </c>
      <c r="F26" s="26">
        <v>-8.64</v>
      </c>
      <c r="G26" s="26">
        <v>0</v>
      </c>
      <c r="H26" s="26">
        <v>-8.64</v>
      </c>
      <c r="I26" s="22"/>
      <c r="J26" s="22"/>
      <c r="K26" s="22"/>
      <c r="L26" s="22"/>
      <c r="M26" s="22"/>
      <c r="N26" s="22"/>
    </row>
    <row r="27" spans="1:14" ht="15.75" x14ac:dyDescent="0.25">
      <c r="A27" s="16">
        <v>43182</v>
      </c>
      <c r="B27" s="27" t="s">
        <v>21</v>
      </c>
      <c r="C27" s="2" t="s">
        <v>22</v>
      </c>
      <c r="D27" s="2" t="s">
        <v>25</v>
      </c>
      <c r="E27" s="2" t="s">
        <v>26</v>
      </c>
      <c r="F27" s="26">
        <v>421.83</v>
      </c>
      <c r="G27" s="26">
        <v>-63.27</v>
      </c>
      <c r="H27" s="26">
        <v>358.56</v>
      </c>
      <c r="I27" s="22"/>
      <c r="J27" s="22"/>
      <c r="K27" s="22"/>
      <c r="L27" s="22"/>
      <c r="M27" s="22"/>
      <c r="N27" s="22"/>
    </row>
    <row r="28" spans="1:14" ht="15.75" x14ac:dyDescent="0.25">
      <c r="A28" s="16">
        <v>43182</v>
      </c>
      <c r="B28" s="27" t="s">
        <v>21</v>
      </c>
      <c r="C28" s="2" t="s">
        <v>22</v>
      </c>
      <c r="D28" s="2" t="s">
        <v>27</v>
      </c>
      <c r="E28" s="2" t="s">
        <v>26</v>
      </c>
      <c r="F28" s="26">
        <v>165.43</v>
      </c>
      <c r="G28" s="26">
        <v>-24.81</v>
      </c>
      <c r="H28" s="26">
        <v>140.62</v>
      </c>
      <c r="I28" s="22"/>
      <c r="J28" s="22"/>
      <c r="K28" s="22"/>
      <c r="L28" s="22"/>
      <c r="M28" s="22"/>
      <c r="N28" s="22"/>
    </row>
    <row r="29" spans="1:14" ht="15.75" x14ac:dyDescent="0.25">
      <c r="A29" s="16">
        <v>43196</v>
      </c>
      <c r="B29" s="27" t="s">
        <v>21</v>
      </c>
      <c r="C29" s="2" t="s">
        <v>22</v>
      </c>
      <c r="D29" s="2" t="s">
        <v>25</v>
      </c>
      <c r="E29" s="2" t="s">
        <v>26</v>
      </c>
      <c r="F29" s="26">
        <v>421.83</v>
      </c>
      <c r="G29" s="26">
        <v>-63.27</v>
      </c>
      <c r="H29" s="26">
        <v>358.56</v>
      </c>
      <c r="I29" s="22"/>
      <c r="J29" s="22"/>
      <c r="K29" s="22"/>
      <c r="L29" s="22"/>
      <c r="M29" s="22"/>
      <c r="N29" s="22"/>
    </row>
    <row r="30" spans="1:14" ht="15.75" x14ac:dyDescent="0.25">
      <c r="A30" s="16">
        <v>43196</v>
      </c>
      <c r="B30" s="27" t="s">
        <v>21</v>
      </c>
      <c r="C30" s="2" t="s">
        <v>22</v>
      </c>
      <c r="D30" s="2" t="s">
        <v>27</v>
      </c>
      <c r="E30" s="2" t="s">
        <v>26</v>
      </c>
      <c r="F30" s="26">
        <v>165.43</v>
      </c>
      <c r="G30" s="26">
        <v>-24.81</v>
      </c>
      <c r="H30" s="26">
        <v>140.62</v>
      </c>
      <c r="I30" s="22"/>
      <c r="J30" s="22"/>
      <c r="K30" s="22"/>
      <c r="L30" s="22"/>
      <c r="M30" s="22"/>
      <c r="N30" s="22"/>
    </row>
    <row r="31" spans="1:14" ht="15.75" x14ac:dyDescent="0.25">
      <c r="A31" s="16">
        <v>43197</v>
      </c>
      <c r="B31" s="27" t="s">
        <v>21</v>
      </c>
      <c r="C31" s="2" t="s">
        <v>22</v>
      </c>
      <c r="D31" s="2" t="s">
        <v>23</v>
      </c>
      <c r="E31" s="2" t="s">
        <v>24</v>
      </c>
      <c r="F31" s="26">
        <v>-9.57</v>
      </c>
      <c r="G31" s="26">
        <v>0</v>
      </c>
      <c r="H31" s="26">
        <v>-9.57</v>
      </c>
      <c r="I31" s="22"/>
      <c r="J31" s="22"/>
      <c r="K31" s="22"/>
      <c r="L31" s="22"/>
      <c r="M31" s="22"/>
      <c r="N31" s="22"/>
    </row>
    <row r="32" spans="1:14" ht="15.75" x14ac:dyDescent="0.25">
      <c r="A32" s="16">
        <v>43210</v>
      </c>
      <c r="B32" s="27" t="s">
        <v>21</v>
      </c>
      <c r="C32" s="2" t="s">
        <v>22</v>
      </c>
      <c r="D32" s="2" t="s">
        <v>25</v>
      </c>
      <c r="E32" s="2" t="s">
        <v>26</v>
      </c>
      <c r="F32" s="26">
        <v>421.83</v>
      </c>
      <c r="G32" s="26">
        <v>-63.27</v>
      </c>
      <c r="H32" s="26">
        <v>358.56</v>
      </c>
      <c r="I32" s="22"/>
      <c r="J32" s="22"/>
      <c r="K32" s="22"/>
      <c r="L32" s="22"/>
      <c r="M32" s="22"/>
      <c r="N32" s="22"/>
    </row>
    <row r="33" spans="1:14" ht="15.75" x14ac:dyDescent="0.25">
      <c r="A33" s="16">
        <v>43210</v>
      </c>
      <c r="B33" s="27" t="s">
        <v>21</v>
      </c>
      <c r="C33" s="2" t="s">
        <v>22</v>
      </c>
      <c r="D33" s="2" t="s">
        <v>28</v>
      </c>
      <c r="E33" s="2" t="s">
        <v>29</v>
      </c>
      <c r="F33" s="26">
        <v>60321.87</v>
      </c>
      <c r="G33" s="26">
        <v>0</v>
      </c>
      <c r="H33" s="26">
        <v>60321.87</v>
      </c>
      <c r="I33" s="22"/>
      <c r="J33" s="22"/>
      <c r="K33" s="22"/>
      <c r="L33" s="22"/>
      <c r="M33" s="22"/>
      <c r="N33" s="22"/>
    </row>
    <row r="34" spans="1:14" ht="15.75" x14ac:dyDescent="0.25">
      <c r="A34" s="16">
        <v>43210</v>
      </c>
      <c r="B34" s="27" t="s">
        <v>21</v>
      </c>
      <c r="C34" s="2" t="s">
        <v>22</v>
      </c>
      <c r="D34" s="2" t="s">
        <v>27</v>
      </c>
      <c r="E34" s="2" t="s">
        <v>26</v>
      </c>
      <c r="F34" s="26">
        <v>165.43</v>
      </c>
      <c r="G34" s="26">
        <v>-24.81</v>
      </c>
      <c r="H34" s="26">
        <v>140.62</v>
      </c>
      <c r="I34" s="22"/>
      <c r="J34" s="22"/>
      <c r="K34" s="22"/>
      <c r="L34" s="22"/>
      <c r="M34" s="22"/>
      <c r="N34" s="22"/>
    </row>
    <row r="35" spans="1:14" ht="15.75" x14ac:dyDescent="0.25">
      <c r="A35" s="16">
        <v>43223</v>
      </c>
      <c r="B35" s="27" t="s">
        <v>21</v>
      </c>
      <c r="C35" s="2" t="s">
        <v>22</v>
      </c>
      <c r="D35" s="2" t="s">
        <v>25</v>
      </c>
      <c r="E35" s="2" t="s">
        <v>26</v>
      </c>
      <c r="F35" s="26">
        <v>421.83</v>
      </c>
      <c r="G35" s="26">
        <v>-63.27</v>
      </c>
      <c r="H35" s="26">
        <v>358.56</v>
      </c>
      <c r="I35" s="22"/>
      <c r="J35" s="22"/>
      <c r="K35" s="22"/>
      <c r="L35" s="22"/>
      <c r="M35" s="22"/>
      <c r="N35" s="22"/>
    </row>
    <row r="36" spans="1:14" ht="15.75" x14ac:dyDescent="0.25">
      <c r="A36" s="16">
        <v>43223</v>
      </c>
      <c r="B36" s="27" t="s">
        <v>21</v>
      </c>
      <c r="C36" s="2" t="s">
        <v>22</v>
      </c>
      <c r="D36" s="2" t="s">
        <v>27</v>
      </c>
      <c r="E36" s="2" t="s">
        <v>26</v>
      </c>
      <c r="F36" s="26">
        <v>165.43</v>
      </c>
      <c r="G36" s="26">
        <v>-24.81</v>
      </c>
      <c r="H36" s="26">
        <v>140.62</v>
      </c>
      <c r="I36" s="22"/>
      <c r="J36" s="22"/>
      <c r="K36" s="22"/>
      <c r="L36" s="22"/>
      <c r="M36" s="22"/>
      <c r="N36" s="22"/>
    </row>
    <row r="37" spans="1:14" ht="15.75" x14ac:dyDescent="0.25">
      <c r="A37" s="16">
        <v>43233</v>
      </c>
      <c r="B37" s="27" t="s">
        <v>21</v>
      </c>
      <c r="C37" s="2" t="s">
        <v>22</v>
      </c>
      <c r="D37" s="2" t="s">
        <v>23</v>
      </c>
      <c r="E37" s="2" t="s">
        <v>24</v>
      </c>
      <c r="F37" s="26">
        <v>-9.25</v>
      </c>
      <c r="G37" s="26">
        <v>0</v>
      </c>
      <c r="H37" s="26">
        <v>-9.25</v>
      </c>
      <c r="I37" s="22"/>
      <c r="J37" s="22"/>
      <c r="K37" s="22"/>
      <c r="L37" s="22"/>
      <c r="M37" s="22"/>
      <c r="N37" s="22"/>
    </row>
    <row r="38" spans="1:14" ht="15.75" x14ac:dyDescent="0.25">
      <c r="A38" s="16">
        <v>43238</v>
      </c>
      <c r="B38" s="27" t="s">
        <v>21</v>
      </c>
      <c r="C38" s="2" t="s">
        <v>22</v>
      </c>
      <c r="D38" s="2" t="s">
        <v>25</v>
      </c>
      <c r="E38" s="2" t="s">
        <v>26</v>
      </c>
      <c r="F38" s="26">
        <v>421.83</v>
      </c>
      <c r="G38" s="26">
        <v>-63.27</v>
      </c>
      <c r="H38" s="26">
        <v>358.56</v>
      </c>
      <c r="I38" s="22"/>
      <c r="J38" s="22"/>
      <c r="K38" s="22"/>
      <c r="L38" s="22"/>
      <c r="M38" s="22"/>
      <c r="N38" s="22"/>
    </row>
    <row r="39" spans="1:14" ht="15.75" x14ac:dyDescent="0.25">
      <c r="A39" s="16">
        <v>43238</v>
      </c>
      <c r="B39" s="27" t="s">
        <v>21</v>
      </c>
      <c r="C39" s="2" t="s">
        <v>22</v>
      </c>
      <c r="D39" s="2" t="s">
        <v>27</v>
      </c>
      <c r="E39" s="2" t="s">
        <v>26</v>
      </c>
      <c r="F39" s="26">
        <v>165.43</v>
      </c>
      <c r="G39" s="26">
        <v>-24.81</v>
      </c>
      <c r="H39" s="26">
        <v>140.62</v>
      </c>
      <c r="I39" s="22"/>
      <c r="J39" s="22"/>
      <c r="K39" s="22"/>
      <c r="L39" s="22"/>
      <c r="M39" s="22"/>
      <c r="N39" s="22"/>
    </row>
    <row r="40" spans="1:14" ht="15.75" x14ac:dyDescent="0.25">
      <c r="A40" s="16">
        <v>43255</v>
      </c>
      <c r="B40" s="27" t="s">
        <v>21</v>
      </c>
      <c r="C40" s="2" t="s">
        <v>22</v>
      </c>
      <c r="D40" s="2" t="s">
        <v>25</v>
      </c>
      <c r="E40" s="2" t="s">
        <v>26</v>
      </c>
      <c r="F40" s="26">
        <v>421.83</v>
      </c>
      <c r="G40" s="26">
        <v>-63.27</v>
      </c>
      <c r="H40" s="26">
        <v>358.56</v>
      </c>
      <c r="I40" s="22"/>
      <c r="J40" s="22"/>
      <c r="K40" s="22"/>
      <c r="L40" s="22"/>
      <c r="M40" s="22"/>
      <c r="N40" s="22"/>
    </row>
    <row r="41" spans="1:14" ht="15.75" x14ac:dyDescent="0.25">
      <c r="A41" s="16">
        <v>43255</v>
      </c>
      <c r="B41" s="27" t="s">
        <v>21</v>
      </c>
      <c r="C41" s="2" t="s">
        <v>22</v>
      </c>
      <c r="D41" s="2" t="s">
        <v>27</v>
      </c>
      <c r="E41" s="2" t="s">
        <v>26</v>
      </c>
      <c r="F41" s="26">
        <v>165.43</v>
      </c>
      <c r="G41" s="26">
        <v>-24.81</v>
      </c>
      <c r="H41" s="26">
        <v>140.62</v>
      </c>
      <c r="I41" s="22"/>
      <c r="J41" s="22"/>
      <c r="K41" s="22"/>
      <c r="L41" s="22"/>
      <c r="M41" s="22"/>
      <c r="N41" s="22"/>
    </row>
    <row r="42" spans="1:14" ht="15.75" x14ac:dyDescent="0.25">
      <c r="A42" s="16">
        <v>43266</v>
      </c>
      <c r="B42" s="27" t="s">
        <v>21</v>
      </c>
      <c r="C42" s="2" t="s">
        <v>22</v>
      </c>
      <c r="D42" s="2" t="s">
        <v>25</v>
      </c>
      <c r="E42" s="2" t="s">
        <v>26</v>
      </c>
      <c r="F42" s="26">
        <v>421.84</v>
      </c>
      <c r="G42" s="26">
        <v>-63.28</v>
      </c>
      <c r="H42" s="26">
        <v>358.56</v>
      </c>
      <c r="I42" s="22"/>
      <c r="J42" s="22"/>
      <c r="K42" s="22"/>
      <c r="L42" s="22"/>
      <c r="M42" s="22"/>
      <c r="N42" s="22"/>
    </row>
    <row r="43" spans="1:14" ht="15.75" x14ac:dyDescent="0.25">
      <c r="A43" s="16">
        <v>43266</v>
      </c>
      <c r="B43" s="27" t="s">
        <v>21</v>
      </c>
      <c r="C43" s="2" t="s">
        <v>22</v>
      </c>
      <c r="D43" s="2" t="s">
        <v>27</v>
      </c>
      <c r="E43" s="2" t="s">
        <v>26</v>
      </c>
      <c r="F43" s="26">
        <v>165.43</v>
      </c>
      <c r="G43" s="26">
        <v>-24.81</v>
      </c>
      <c r="H43" s="26">
        <v>140.62</v>
      </c>
      <c r="I43" s="22"/>
      <c r="J43" s="22"/>
      <c r="K43" s="22"/>
      <c r="L43" s="22"/>
      <c r="M43" s="22"/>
      <c r="N43" s="22"/>
    </row>
    <row r="44" spans="1:14" ht="15.75" x14ac:dyDescent="0.25">
      <c r="A44" s="16">
        <v>43267</v>
      </c>
      <c r="B44" s="27" t="s">
        <v>21</v>
      </c>
      <c r="C44" s="2" t="s">
        <v>22</v>
      </c>
      <c r="D44" s="2" t="s">
        <v>23</v>
      </c>
      <c r="E44" s="2" t="s">
        <v>24</v>
      </c>
      <c r="F44" s="26">
        <v>-9.57</v>
      </c>
      <c r="G44" s="26">
        <v>0</v>
      </c>
      <c r="H44" s="26">
        <v>-9.57</v>
      </c>
      <c r="I44" s="22"/>
      <c r="J44" s="22"/>
      <c r="K44" s="22"/>
      <c r="L44" s="22"/>
      <c r="M44" s="22"/>
      <c r="N44" s="22"/>
    </row>
    <row r="45" spans="1:14" ht="15.75" x14ac:dyDescent="0.25">
      <c r="A45" s="16">
        <v>43279</v>
      </c>
      <c r="B45" s="27" t="s">
        <v>21</v>
      </c>
      <c r="C45" s="2" t="s">
        <v>22</v>
      </c>
      <c r="D45" s="2" t="s">
        <v>25</v>
      </c>
      <c r="E45" s="2" t="s">
        <v>26</v>
      </c>
      <c r="F45" s="26">
        <v>421.83</v>
      </c>
      <c r="G45" s="26">
        <v>-63.27</v>
      </c>
      <c r="H45" s="26">
        <v>358.56</v>
      </c>
      <c r="I45" s="22"/>
      <c r="J45" s="22"/>
      <c r="K45" s="22"/>
      <c r="L45" s="22"/>
      <c r="M45" s="22"/>
      <c r="N45" s="22"/>
    </row>
    <row r="46" spans="1:14" ht="15.75" x14ac:dyDescent="0.25">
      <c r="A46" s="16">
        <v>43279</v>
      </c>
      <c r="B46" s="27" t="s">
        <v>21</v>
      </c>
      <c r="C46" s="2" t="s">
        <v>22</v>
      </c>
      <c r="D46" s="2" t="s">
        <v>27</v>
      </c>
      <c r="E46" s="2" t="s">
        <v>26</v>
      </c>
      <c r="F46" s="26">
        <v>165.43</v>
      </c>
      <c r="G46" s="26">
        <v>-24.81</v>
      </c>
      <c r="H46" s="26">
        <v>140.62</v>
      </c>
      <c r="I46" s="22"/>
      <c r="J46" s="22"/>
      <c r="K46" s="22"/>
      <c r="L46" s="22"/>
      <c r="M46" s="22"/>
      <c r="N46" s="22"/>
    </row>
    <row r="47" spans="1:14" ht="15.75" x14ac:dyDescent="0.25">
      <c r="A47" s="16">
        <v>43288</v>
      </c>
      <c r="B47" s="27" t="s">
        <v>21</v>
      </c>
      <c r="C47" s="2" t="s">
        <v>22</v>
      </c>
      <c r="D47" s="2" t="s">
        <v>23</v>
      </c>
      <c r="E47" s="2" t="s">
        <v>24</v>
      </c>
      <c r="F47" s="26">
        <v>-9.26</v>
      </c>
      <c r="G47" s="26">
        <v>0</v>
      </c>
      <c r="H47" s="26">
        <v>-9.26</v>
      </c>
      <c r="I47" s="22"/>
      <c r="J47" s="22"/>
      <c r="K47" s="22"/>
      <c r="L47" s="22"/>
      <c r="M47" s="22"/>
      <c r="N47" s="22"/>
    </row>
    <row r="48" spans="1:14" ht="15.75" x14ac:dyDescent="0.25">
      <c r="A48" s="16">
        <v>43294</v>
      </c>
      <c r="B48" s="27" t="s">
        <v>21</v>
      </c>
      <c r="C48" s="2" t="s">
        <v>22</v>
      </c>
      <c r="D48" s="2" t="s">
        <v>25</v>
      </c>
      <c r="E48" s="2" t="s">
        <v>26</v>
      </c>
      <c r="F48" s="26">
        <v>421.83</v>
      </c>
      <c r="G48" s="26">
        <v>-63.27</v>
      </c>
      <c r="H48" s="26">
        <v>358.56</v>
      </c>
      <c r="I48" s="22"/>
      <c r="J48" s="22"/>
      <c r="K48" s="22"/>
      <c r="L48" s="22"/>
      <c r="M48" s="22"/>
      <c r="N48" s="22"/>
    </row>
    <row r="49" spans="1:14" ht="15.75" x14ac:dyDescent="0.25">
      <c r="A49" s="16">
        <v>43294</v>
      </c>
      <c r="B49" s="27" t="s">
        <v>21</v>
      </c>
      <c r="C49" s="2" t="s">
        <v>22</v>
      </c>
      <c r="D49" s="2" t="s">
        <v>27</v>
      </c>
      <c r="E49" s="2" t="s">
        <v>26</v>
      </c>
      <c r="F49" s="26">
        <v>165.43</v>
      </c>
      <c r="G49" s="26">
        <v>-24.81</v>
      </c>
      <c r="H49" s="26">
        <v>140.62</v>
      </c>
      <c r="I49" s="22"/>
      <c r="J49" s="22"/>
      <c r="K49" s="22"/>
      <c r="L49" s="22"/>
      <c r="M49" s="22"/>
      <c r="N49" s="22"/>
    </row>
    <row r="50" spans="1:14" ht="15.75" x14ac:dyDescent="0.25">
      <c r="A50" s="16">
        <v>43311</v>
      </c>
      <c r="B50" s="27" t="s">
        <v>21</v>
      </c>
      <c r="C50" s="2" t="s">
        <v>22</v>
      </c>
      <c r="D50" s="2" t="s">
        <v>25</v>
      </c>
      <c r="E50" s="2" t="s">
        <v>26</v>
      </c>
      <c r="F50" s="26">
        <v>355.23</v>
      </c>
      <c r="G50" s="26">
        <v>-53.28</v>
      </c>
      <c r="H50" s="26">
        <v>301.95</v>
      </c>
      <c r="I50" s="22"/>
      <c r="J50" s="22"/>
      <c r="K50" s="22"/>
      <c r="L50" s="22"/>
      <c r="M50" s="22"/>
      <c r="N50" s="22"/>
    </row>
    <row r="51" spans="1:14" ht="15.75" x14ac:dyDescent="0.25">
      <c r="A51" s="16">
        <v>43311</v>
      </c>
      <c r="B51" s="27" t="s">
        <v>21</v>
      </c>
      <c r="C51" s="2" t="s">
        <v>22</v>
      </c>
      <c r="D51" s="2" t="s">
        <v>27</v>
      </c>
      <c r="E51" s="2" t="s">
        <v>26</v>
      </c>
      <c r="F51" s="26">
        <v>139.31</v>
      </c>
      <c r="G51" s="26">
        <v>-20.9</v>
      </c>
      <c r="H51" s="26">
        <v>118.41</v>
      </c>
      <c r="I51" s="22"/>
      <c r="J51" s="22"/>
      <c r="K51" s="22"/>
      <c r="L51" s="22"/>
      <c r="M51" s="22"/>
      <c r="N51" s="22"/>
    </row>
    <row r="52" spans="1:14" ht="15.75" x14ac:dyDescent="0.25">
      <c r="A52" s="16">
        <v>43315</v>
      </c>
      <c r="B52" s="27" t="s">
        <v>21</v>
      </c>
      <c r="C52" s="2" t="s">
        <v>22</v>
      </c>
      <c r="D52" s="2" t="s">
        <v>23</v>
      </c>
      <c r="E52" s="2" t="s">
        <v>24</v>
      </c>
      <c r="F52" s="26">
        <v>-10.34</v>
      </c>
      <c r="G52" s="26">
        <v>0</v>
      </c>
      <c r="H52" s="26">
        <v>-10.34</v>
      </c>
      <c r="I52" s="22"/>
      <c r="J52" s="22"/>
      <c r="K52" s="22"/>
      <c r="L52" s="22"/>
      <c r="M52" s="22"/>
      <c r="N52" s="22"/>
    </row>
    <row r="53" spans="1:14" ht="15.75" x14ac:dyDescent="0.25">
      <c r="A53" s="16">
        <v>43322</v>
      </c>
      <c r="B53" s="27" t="s">
        <v>21</v>
      </c>
      <c r="C53" s="2" t="s">
        <v>22</v>
      </c>
      <c r="D53" s="2" t="s">
        <v>25</v>
      </c>
      <c r="E53" s="2" t="s">
        <v>26</v>
      </c>
      <c r="F53" s="26">
        <v>355.23</v>
      </c>
      <c r="G53" s="26">
        <v>-53.28</v>
      </c>
      <c r="H53" s="26">
        <v>301.95</v>
      </c>
      <c r="I53" s="22"/>
      <c r="J53" s="22"/>
      <c r="K53" s="22"/>
      <c r="L53" s="22"/>
      <c r="M53" s="22"/>
      <c r="N53" s="22"/>
    </row>
    <row r="54" spans="1:14" ht="15.75" x14ac:dyDescent="0.25">
      <c r="A54" s="16">
        <v>43322</v>
      </c>
      <c r="B54" s="27" t="s">
        <v>21</v>
      </c>
      <c r="C54" s="2" t="s">
        <v>22</v>
      </c>
      <c r="D54" s="2" t="s">
        <v>27</v>
      </c>
      <c r="E54" s="2" t="s">
        <v>26</v>
      </c>
      <c r="F54" s="26">
        <v>139.30000000000001</v>
      </c>
      <c r="G54" s="26">
        <v>-20.9</v>
      </c>
      <c r="H54" s="26">
        <v>118.4</v>
      </c>
      <c r="I54" s="22"/>
      <c r="J54" s="22"/>
      <c r="K54" s="22"/>
      <c r="L54" s="22"/>
      <c r="M54" s="22"/>
      <c r="N54" s="22"/>
    </row>
    <row r="55" spans="1:14" ht="15.75" x14ac:dyDescent="0.25">
      <c r="A55" s="16">
        <v>43336</v>
      </c>
      <c r="B55" s="27" t="s">
        <v>21</v>
      </c>
      <c r="C55" s="2" t="s">
        <v>22</v>
      </c>
      <c r="D55" s="2" t="s">
        <v>25</v>
      </c>
      <c r="E55" s="2" t="s">
        <v>26</v>
      </c>
      <c r="F55" s="26">
        <v>355.23</v>
      </c>
      <c r="G55" s="26">
        <v>-53.28</v>
      </c>
      <c r="H55" s="26">
        <v>301.95</v>
      </c>
      <c r="I55" s="22"/>
      <c r="J55" s="22"/>
      <c r="K55" s="22"/>
      <c r="L55" s="22"/>
      <c r="M55" s="22"/>
      <c r="N55" s="22"/>
    </row>
    <row r="56" spans="1:14" ht="15.75" x14ac:dyDescent="0.25">
      <c r="A56" s="16">
        <v>43336</v>
      </c>
      <c r="B56" s="27" t="s">
        <v>21</v>
      </c>
      <c r="C56" s="2" t="s">
        <v>22</v>
      </c>
      <c r="D56" s="2" t="s">
        <v>27</v>
      </c>
      <c r="E56" s="2" t="s">
        <v>26</v>
      </c>
      <c r="F56" s="26">
        <v>139.31</v>
      </c>
      <c r="G56" s="26">
        <v>-20.9</v>
      </c>
      <c r="H56" s="26">
        <v>118.41</v>
      </c>
      <c r="I56" s="22"/>
      <c r="J56" s="22"/>
      <c r="K56" s="22"/>
      <c r="L56" s="22"/>
      <c r="M56" s="22"/>
      <c r="N56" s="22"/>
    </row>
    <row r="57" spans="1:14" ht="15.75" x14ac:dyDescent="0.25">
      <c r="A57" s="16">
        <v>43350</v>
      </c>
      <c r="B57" s="27" t="s">
        <v>21</v>
      </c>
      <c r="C57" s="2" t="s">
        <v>22</v>
      </c>
      <c r="D57" s="2" t="s">
        <v>25</v>
      </c>
      <c r="E57" s="2" t="s">
        <v>26</v>
      </c>
      <c r="F57" s="26">
        <v>355.23</v>
      </c>
      <c r="G57" s="26">
        <v>-53.28</v>
      </c>
      <c r="H57" s="26">
        <v>301.95</v>
      </c>
      <c r="I57" s="22"/>
      <c r="J57" s="22"/>
      <c r="K57" s="22"/>
      <c r="L57" s="22"/>
      <c r="M57" s="22"/>
      <c r="N57" s="22"/>
    </row>
    <row r="58" spans="1:14" ht="15.75" x14ac:dyDescent="0.25">
      <c r="A58" s="16">
        <v>43350</v>
      </c>
      <c r="B58" s="27" t="s">
        <v>21</v>
      </c>
      <c r="C58" s="2" t="s">
        <v>22</v>
      </c>
      <c r="D58" s="2" t="s">
        <v>27</v>
      </c>
      <c r="E58" s="2" t="s">
        <v>26</v>
      </c>
      <c r="F58" s="26">
        <v>139.31</v>
      </c>
      <c r="G58" s="26">
        <v>-20.9</v>
      </c>
      <c r="H58" s="26">
        <v>118.41</v>
      </c>
      <c r="I58" s="22"/>
      <c r="J58" s="22"/>
      <c r="K58" s="22"/>
      <c r="L58" s="22"/>
      <c r="M58" s="22"/>
      <c r="N58" s="22"/>
    </row>
    <row r="59" spans="1:14" ht="15.75" x14ac:dyDescent="0.25">
      <c r="A59" s="16">
        <v>43351</v>
      </c>
      <c r="B59" s="27" t="s">
        <v>21</v>
      </c>
      <c r="C59" s="2" t="s">
        <v>22</v>
      </c>
      <c r="D59" s="2" t="s">
        <v>23</v>
      </c>
      <c r="E59" s="2" t="s">
        <v>24</v>
      </c>
      <c r="F59" s="26">
        <v>-10.45</v>
      </c>
      <c r="G59" s="26">
        <v>0</v>
      </c>
      <c r="H59" s="26">
        <v>-10.45</v>
      </c>
      <c r="I59" s="22"/>
      <c r="J59" s="22"/>
      <c r="K59" s="22"/>
      <c r="L59" s="22"/>
      <c r="M59" s="22"/>
      <c r="N59" s="22"/>
    </row>
    <row r="60" spans="1:14" ht="15.75" x14ac:dyDescent="0.25">
      <c r="A60" s="16">
        <v>43364</v>
      </c>
      <c r="B60" s="27" t="s">
        <v>21</v>
      </c>
      <c r="C60" s="2" t="s">
        <v>22</v>
      </c>
      <c r="D60" s="2" t="s">
        <v>25</v>
      </c>
      <c r="E60" s="2" t="s">
        <v>26</v>
      </c>
      <c r="F60" s="26">
        <v>355.23</v>
      </c>
      <c r="G60" s="26">
        <v>-53.28</v>
      </c>
      <c r="H60" s="26">
        <v>301.95</v>
      </c>
      <c r="I60" s="22"/>
      <c r="J60" s="22"/>
      <c r="K60" s="22"/>
      <c r="L60" s="22"/>
      <c r="M60" s="22"/>
      <c r="N60" s="22"/>
    </row>
    <row r="61" spans="1:14" ht="15.75" x14ac:dyDescent="0.25">
      <c r="A61" s="16">
        <v>43364</v>
      </c>
      <c r="B61" s="27" t="s">
        <v>21</v>
      </c>
      <c r="C61" s="2" t="s">
        <v>22</v>
      </c>
      <c r="D61" s="2" t="s">
        <v>27</v>
      </c>
      <c r="E61" s="2" t="s">
        <v>26</v>
      </c>
      <c r="F61" s="26">
        <v>139.31</v>
      </c>
      <c r="G61" s="26">
        <v>-20.9</v>
      </c>
      <c r="H61" s="26">
        <v>118.41</v>
      </c>
      <c r="I61" s="22"/>
      <c r="J61" s="22"/>
      <c r="K61" s="22"/>
      <c r="L61" s="22"/>
      <c r="M61" s="22"/>
      <c r="N61" s="22"/>
    </row>
    <row r="62" spans="1:14" ht="15.75" x14ac:dyDescent="0.25">
      <c r="A62" s="16">
        <v>43378</v>
      </c>
      <c r="B62" s="27" t="s">
        <v>21</v>
      </c>
      <c r="C62" s="2" t="s">
        <v>22</v>
      </c>
      <c r="D62" s="2" t="s">
        <v>25</v>
      </c>
      <c r="E62" s="2" t="s">
        <v>26</v>
      </c>
      <c r="F62" s="26">
        <v>360.78</v>
      </c>
      <c r="G62" s="26">
        <v>-54.12</v>
      </c>
      <c r="H62" s="26">
        <v>306.66000000000003</v>
      </c>
      <c r="I62" s="22"/>
      <c r="J62" s="22"/>
      <c r="K62" s="22"/>
      <c r="L62" s="22"/>
      <c r="M62" s="22"/>
      <c r="N62" s="22"/>
    </row>
    <row r="63" spans="1:14" ht="15.75" x14ac:dyDescent="0.25">
      <c r="A63" s="16">
        <v>43378</v>
      </c>
      <c r="B63" s="27" t="s">
        <v>21</v>
      </c>
      <c r="C63" s="2" t="s">
        <v>22</v>
      </c>
      <c r="D63" s="2" t="s">
        <v>27</v>
      </c>
      <c r="E63" s="2" t="s">
        <v>26</v>
      </c>
      <c r="F63" s="26">
        <v>141.47999999999999</v>
      </c>
      <c r="G63" s="26">
        <v>-21.22</v>
      </c>
      <c r="H63" s="26">
        <v>120.26</v>
      </c>
      <c r="I63" s="22"/>
      <c r="J63" s="22"/>
      <c r="K63" s="22"/>
      <c r="L63" s="22"/>
      <c r="M63" s="22"/>
      <c r="N63" s="22"/>
    </row>
    <row r="64" spans="1:14" ht="15.75" x14ac:dyDescent="0.25">
      <c r="A64" s="16">
        <v>43379</v>
      </c>
      <c r="B64" s="27" t="s">
        <v>21</v>
      </c>
      <c r="C64" s="2" t="s">
        <v>22</v>
      </c>
      <c r="D64" s="2" t="s">
        <v>23</v>
      </c>
      <c r="E64" s="2" t="s">
        <v>24</v>
      </c>
      <c r="F64" s="26">
        <v>-10.11</v>
      </c>
      <c r="G64" s="26">
        <v>0</v>
      </c>
      <c r="H64" s="26">
        <v>-10.11</v>
      </c>
      <c r="I64" s="22"/>
      <c r="J64" s="22"/>
      <c r="K64" s="22"/>
      <c r="L64" s="22"/>
      <c r="M64" s="22"/>
      <c r="N64" s="22"/>
    </row>
    <row r="65" spans="1:14" ht="15.75" x14ac:dyDescent="0.25">
      <c r="A65" s="16">
        <v>43392</v>
      </c>
      <c r="B65" s="27" t="s">
        <v>21</v>
      </c>
      <c r="C65" s="2" t="s">
        <v>22</v>
      </c>
      <c r="D65" s="2" t="s">
        <v>25</v>
      </c>
      <c r="E65" s="2" t="s">
        <v>26</v>
      </c>
      <c r="F65" s="26">
        <v>486.07</v>
      </c>
      <c r="G65" s="26">
        <v>-72.91</v>
      </c>
      <c r="H65" s="26">
        <v>413.16</v>
      </c>
      <c r="I65" s="22"/>
      <c r="J65" s="22"/>
      <c r="K65" s="22"/>
      <c r="L65" s="22"/>
      <c r="M65" s="22"/>
      <c r="N65" s="22"/>
    </row>
    <row r="66" spans="1:14" ht="15.75" x14ac:dyDescent="0.25">
      <c r="A66" s="16">
        <v>43392</v>
      </c>
      <c r="B66" s="27" t="s">
        <v>21</v>
      </c>
      <c r="C66" s="2" t="s">
        <v>22</v>
      </c>
      <c r="D66" s="2" t="s">
        <v>27</v>
      </c>
      <c r="E66" s="2" t="s">
        <v>26</v>
      </c>
      <c r="F66" s="26">
        <v>190.61</v>
      </c>
      <c r="G66" s="26">
        <v>-28.59</v>
      </c>
      <c r="H66" s="26">
        <v>162.02000000000001</v>
      </c>
      <c r="I66" s="22"/>
      <c r="J66" s="22"/>
      <c r="K66" s="22"/>
      <c r="L66" s="22"/>
      <c r="M66" s="22"/>
      <c r="N66" s="22"/>
    </row>
    <row r="67" spans="1:14" ht="15.75" x14ac:dyDescent="0.25">
      <c r="A67" s="16">
        <v>43406</v>
      </c>
      <c r="B67" s="27" t="s">
        <v>21</v>
      </c>
      <c r="C67" s="2" t="s">
        <v>22</v>
      </c>
      <c r="D67" s="2" t="s">
        <v>25</v>
      </c>
      <c r="E67" s="2" t="s">
        <v>26</v>
      </c>
      <c r="F67" s="26">
        <v>364.11</v>
      </c>
      <c r="G67" s="26">
        <v>-54.62</v>
      </c>
      <c r="H67" s="26">
        <v>309.49</v>
      </c>
      <c r="I67" s="22"/>
      <c r="J67" s="22"/>
      <c r="K67" s="22"/>
      <c r="L67" s="22"/>
      <c r="M67" s="22"/>
      <c r="N67" s="22"/>
    </row>
    <row r="68" spans="1:14" ht="15.75" x14ac:dyDescent="0.25">
      <c r="A68" s="16">
        <v>43406</v>
      </c>
      <c r="B68" s="27" t="s">
        <v>21</v>
      </c>
      <c r="C68" s="2" t="s">
        <v>22</v>
      </c>
      <c r="D68" s="2" t="s">
        <v>27</v>
      </c>
      <c r="E68" s="2" t="s">
        <v>26</v>
      </c>
      <c r="F68" s="26">
        <v>142.79</v>
      </c>
      <c r="G68" s="26">
        <v>-21.42</v>
      </c>
      <c r="H68" s="26">
        <v>121.37</v>
      </c>
      <c r="I68" s="22"/>
      <c r="J68" s="22"/>
      <c r="K68" s="22"/>
      <c r="L68" s="22"/>
      <c r="M68" s="22"/>
      <c r="N68" s="22"/>
    </row>
    <row r="69" spans="1:14" ht="15.75" x14ac:dyDescent="0.25">
      <c r="A69" s="16">
        <v>43414</v>
      </c>
      <c r="B69" s="27" t="s">
        <v>21</v>
      </c>
      <c r="C69" s="2" t="s">
        <v>22</v>
      </c>
      <c r="D69" s="2" t="s">
        <v>23</v>
      </c>
      <c r="E69" s="2" t="s">
        <v>24</v>
      </c>
      <c r="F69" s="26">
        <v>-10.45</v>
      </c>
      <c r="G69" s="26">
        <v>0</v>
      </c>
      <c r="H69" s="26">
        <v>-10.45</v>
      </c>
      <c r="I69" s="22"/>
      <c r="J69" s="22"/>
      <c r="K69" s="22"/>
      <c r="L69" s="22"/>
      <c r="M69" s="22"/>
      <c r="N69" s="22"/>
    </row>
    <row r="70" spans="1:14" ht="15.75" x14ac:dyDescent="0.25">
      <c r="A70" s="16">
        <v>43420</v>
      </c>
      <c r="B70" s="27" t="s">
        <v>21</v>
      </c>
      <c r="C70" s="2" t="s">
        <v>22</v>
      </c>
      <c r="D70" s="2" t="s">
        <v>25</v>
      </c>
      <c r="E70" s="2" t="s">
        <v>26</v>
      </c>
      <c r="F70" s="26">
        <v>364.11</v>
      </c>
      <c r="G70" s="26">
        <v>-54.62</v>
      </c>
      <c r="H70" s="26">
        <v>309.49</v>
      </c>
      <c r="I70" s="22"/>
      <c r="J70" s="22"/>
      <c r="K70" s="22"/>
      <c r="L70" s="22"/>
      <c r="M70" s="22"/>
      <c r="N70" s="22"/>
    </row>
    <row r="71" spans="1:14" ht="15.75" x14ac:dyDescent="0.25">
      <c r="A71" s="16">
        <v>43420</v>
      </c>
      <c r="B71" s="27" t="s">
        <v>21</v>
      </c>
      <c r="C71" s="2" t="s">
        <v>22</v>
      </c>
      <c r="D71" s="2" t="s">
        <v>27</v>
      </c>
      <c r="E71" s="2" t="s">
        <v>26</v>
      </c>
      <c r="F71" s="26">
        <v>142.79</v>
      </c>
      <c r="G71" s="26">
        <v>-21.42</v>
      </c>
      <c r="H71" s="26">
        <v>121.37</v>
      </c>
      <c r="I71" s="22"/>
      <c r="J71" s="22"/>
      <c r="K71" s="22"/>
      <c r="L71" s="22"/>
      <c r="M71" s="22"/>
      <c r="N71" s="22"/>
    </row>
    <row r="72" spans="1:14" ht="15.75" x14ac:dyDescent="0.25">
      <c r="A72" s="16">
        <v>43434</v>
      </c>
      <c r="B72" s="27" t="s">
        <v>21</v>
      </c>
      <c r="C72" s="2" t="s">
        <v>22</v>
      </c>
      <c r="D72" s="2" t="s">
        <v>25</v>
      </c>
      <c r="E72" s="2" t="s">
        <v>26</v>
      </c>
      <c r="F72" s="26">
        <v>364.11</v>
      </c>
      <c r="G72" s="26">
        <v>-54.62</v>
      </c>
      <c r="H72" s="26">
        <v>309.49</v>
      </c>
      <c r="I72" s="22"/>
      <c r="J72" s="22"/>
      <c r="K72" s="22"/>
      <c r="L72" s="22"/>
      <c r="M72" s="22"/>
      <c r="N72" s="22"/>
    </row>
    <row r="73" spans="1:14" ht="15.75" x14ac:dyDescent="0.25">
      <c r="A73" s="16">
        <v>43434</v>
      </c>
      <c r="B73" s="27" t="s">
        <v>21</v>
      </c>
      <c r="C73" s="2" t="s">
        <v>22</v>
      </c>
      <c r="D73" s="2" t="s">
        <v>27</v>
      </c>
      <c r="E73" s="2" t="s">
        <v>26</v>
      </c>
      <c r="F73" s="26">
        <v>142.79</v>
      </c>
      <c r="G73" s="26">
        <v>-21.42</v>
      </c>
      <c r="H73" s="26">
        <v>121.37</v>
      </c>
      <c r="I73" s="22"/>
      <c r="J73" s="22"/>
      <c r="K73" s="22"/>
      <c r="L73" s="22"/>
      <c r="M73" s="22"/>
      <c r="N73" s="22"/>
    </row>
    <row r="74" spans="1:14" ht="15.75" x14ac:dyDescent="0.25">
      <c r="A74" s="16">
        <v>43442</v>
      </c>
      <c r="B74" s="27" t="s">
        <v>21</v>
      </c>
      <c r="C74" s="2" t="s">
        <v>22</v>
      </c>
      <c r="D74" s="2" t="s">
        <v>23</v>
      </c>
      <c r="E74" s="2" t="s">
        <v>24</v>
      </c>
      <c r="F74" s="26">
        <v>-10.11</v>
      </c>
      <c r="G74" s="26">
        <v>0</v>
      </c>
      <c r="H74" s="26">
        <v>-10.11</v>
      </c>
      <c r="I74" s="22"/>
      <c r="J74" s="22"/>
      <c r="K74" s="22"/>
      <c r="L74" s="22"/>
      <c r="M74" s="22"/>
      <c r="N74" s="22"/>
    </row>
    <row r="75" spans="1:14" ht="15.75" x14ac:dyDescent="0.25">
      <c r="A75" s="16">
        <v>43448</v>
      </c>
      <c r="B75" s="27" t="s">
        <v>21</v>
      </c>
      <c r="C75" s="2" t="s">
        <v>22</v>
      </c>
      <c r="D75" s="2" t="s">
        <v>25</v>
      </c>
      <c r="E75" s="2" t="s">
        <v>26</v>
      </c>
      <c r="F75" s="26">
        <v>364.11</v>
      </c>
      <c r="G75" s="26">
        <v>-54.62</v>
      </c>
      <c r="H75" s="26">
        <v>309.49</v>
      </c>
      <c r="I75" s="22"/>
      <c r="J75" s="22"/>
      <c r="K75" s="22"/>
      <c r="L75" s="22"/>
      <c r="M75" s="22"/>
      <c r="N75" s="22"/>
    </row>
    <row r="76" spans="1:14" ht="15.75" x14ac:dyDescent="0.25">
      <c r="A76" s="16">
        <v>43448</v>
      </c>
      <c r="B76" s="27" t="s">
        <v>21</v>
      </c>
      <c r="C76" s="2" t="s">
        <v>22</v>
      </c>
      <c r="D76" s="2" t="s">
        <v>27</v>
      </c>
      <c r="E76" s="2" t="s">
        <v>26</v>
      </c>
      <c r="F76" s="26">
        <v>142.79</v>
      </c>
      <c r="G76" s="26">
        <v>-21.42</v>
      </c>
      <c r="H76" s="26">
        <v>121.37</v>
      </c>
      <c r="I76" s="22"/>
      <c r="J76" s="22"/>
      <c r="K76" s="22"/>
      <c r="L76" s="22"/>
      <c r="M76" s="22"/>
      <c r="N76" s="22"/>
    </row>
    <row r="77" spans="1:14" ht="15.75" x14ac:dyDescent="0.25">
      <c r="A77" s="16">
        <v>43468</v>
      </c>
      <c r="B77" s="27" t="s">
        <v>21</v>
      </c>
      <c r="C77" s="2" t="s">
        <v>22</v>
      </c>
      <c r="D77" s="2" t="s">
        <v>25</v>
      </c>
      <c r="E77" s="2" t="s">
        <v>26</v>
      </c>
      <c r="F77" s="26">
        <v>364.11</v>
      </c>
      <c r="G77" s="26">
        <v>-54.62</v>
      </c>
      <c r="H77" s="26">
        <v>309.49</v>
      </c>
      <c r="I77" s="22"/>
      <c r="J77" s="22"/>
      <c r="K77" s="22"/>
      <c r="L77" s="22"/>
      <c r="M77" s="22"/>
      <c r="N77" s="22"/>
    </row>
    <row r="78" spans="1:14" ht="15.75" x14ac:dyDescent="0.25">
      <c r="A78" s="16">
        <v>43468</v>
      </c>
      <c r="B78" s="27" t="s">
        <v>21</v>
      </c>
      <c r="C78" s="2" t="s">
        <v>22</v>
      </c>
      <c r="D78" s="2" t="s">
        <v>27</v>
      </c>
      <c r="E78" s="2" t="s">
        <v>26</v>
      </c>
      <c r="F78" s="26">
        <v>142.79</v>
      </c>
      <c r="G78" s="26">
        <v>-21.42</v>
      </c>
      <c r="H78" s="26">
        <v>121.37</v>
      </c>
      <c r="I78" s="22"/>
      <c r="J78" s="22"/>
      <c r="K78" s="22"/>
      <c r="L78" s="22"/>
      <c r="M78" s="22"/>
      <c r="N78" s="22"/>
    </row>
    <row r="79" spans="1:14" ht="15.75" x14ac:dyDescent="0.25">
      <c r="A79" s="16">
        <v>43476</v>
      </c>
      <c r="B79" s="27" t="s">
        <v>21</v>
      </c>
      <c r="C79" s="2" t="s">
        <v>22</v>
      </c>
      <c r="D79" s="2" t="s">
        <v>25</v>
      </c>
      <c r="E79" s="2" t="s">
        <v>26</v>
      </c>
      <c r="F79" s="26">
        <v>366.95</v>
      </c>
      <c r="G79" s="26">
        <v>-55.04</v>
      </c>
      <c r="H79" s="26">
        <v>311.91000000000003</v>
      </c>
      <c r="I79" s="22"/>
      <c r="J79" s="22"/>
      <c r="K79" s="22"/>
      <c r="L79" s="22"/>
      <c r="M79" s="22"/>
      <c r="N79" s="22"/>
    </row>
    <row r="80" spans="1:14" ht="15.75" x14ac:dyDescent="0.25">
      <c r="A80" s="16">
        <v>43476</v>
      </c>
      <c r="B80" s="27" t="s">
        <v>21</v>
      </c>
      <c r="C80" s="2" t="s">
        <v>22</v>
      </c>
      <c r="D80" s="2" t="s">
        <v>27</v>
      </c>
      <c r="E80" s="2" t="s">
        <v>26</v>
      </c>
      <c r="F80" s="26">
        <v>143.9</v>
      </c>
      <c r="G80" s="26">
        <v>-21.59</v>
      </c>
      <c r="H80" s="26">
        <v>122.31</v>
      </c>
      <c r="I80" s="22"/>
      <c r="J80" s="22"/>
      <c r="K80" s="22"/>
      <c r="L80" s="22"/>
      <c r="M80" s="22"/>
      <c r="N80" s="22"/>
    </row>
    <row r="81" spans="1:14" ht="15.75" x14ac:dyDescent="0.25">
      <c r="A81" s="16">
        <v>43477</v>
      </c>
      <c r="B81" s="27" t="s">
        <v>21</v>
      </c>
      <c r="C81" s="2" t="s">
        <v>22</v>
      </c>
      <c r="D81" s="2" t="s">
        <v>23</v>
      </c>
      <c r="E81" s="2" t="s">
        <v>24</v>
      </c>
      <c r="F81" s="26">
        <v>-10.45</v>
      </c>
      <c r="G81" s="26">
        <v>0</v>
      </c>
      <c r="H81" s="26">
        <v>-10.45</v>
      </c>
      <c r="I81" s="22"/>
      <c r="J81" s="22"/>
      <c r="K81" s="22"/>
      <c r="L81" s="22"/>
      <c r="M81" s="22"/>
      <c r="N81" s="22"/>
    </row>
    <row r="82" spans="1:14" ht="15.75" x14ac:dyDescent="0.25">
      <c r="A82" s="16">
        <v>43490</v>
      </c>
      <c r="B82" s="27" t="s">
        <v>21</v>
      </c>
      <c r="C82" s="2" t="s">
        <v>22</v>
      </c>
      <c r="D82" s="2" t="s">
        <v>25</v>
      </c>
      <c r="E82" s="2" t="s">
        <v>26</v>
      </c>
      <c r="F82" s="26">
        <v>364.11</v>
      </c>
      <c r="G82" s="26">
        <v>-54.62</v>
      </c>
      <c r="H82" s="26">
        <v>309.49</v>
      </c>
      <c r="I82" s="22"/>
      <c r="J82" s="22"/>
      <c r="K82" s="22"/>
      <c r="L82" s="22"/>
      <c r="M82" s="22"/>
      <c r="N82" s="22"/>
    </row>
    <row r="83" spans="1:14" ht="15.75" x14ac:dyDescent="0.25">
      <c r="A83" s="16">
        <v>43490</v>
      </c>
      <c r="B83" s="27" t="s">
        <v>21</v>
      </c>
      <c r="C83" s="2" t="s">
        <v>22</v>
      </c>
      <c r="D83" s="2" t="s">
        <v>27</v>
      </c>
      <c r="E83" s="2" t="s">
        <v>26</v>
      </c>
      <c r="F83" s="26">
        <v>142.79</v>
      </c>
      <c r="G83" s="26">
        <v>-21.42</v>
      </c>
      <c r="H83" s="26">
        <v>121.37</v>
      </c>
      <c r="I83" s="22"/>
      <c r="J83" s="22"/>
      <c r="K83" s="22"/>
      <c r="L83" s="22"/>
      <c r="M83" s="22"/>
      <c r="N83" s="22"/>
    </row>
    <row r="84" spans="1:14" ht="15.75" x14ac:dyDescent="0.25">
      <c r="A84" s="16">
        <v>43504</v>
      </c>
      <c r="B84" s="27" t="s">
        <v>21</v>
      </c>
      <c r="C84" s="2" t="s">
        <v>22</v>
      </c>
      <c r="D84" s="2" t="s">
        <v>25</v>
      </c>
      <c r="E84" s="2" t="s">
        <v>26</v>
      </c>
      <c r="F84" s="26">
        <v>409.62</v>
      </c>
      <c r="G84" s="26">
        <v>-61.44</v>
      </c>
      <c r="H84" s="26">
        <v>348.18</v>
      </c>
      <c r="I84" s="22"/>
      <c r="J84" s="22"/>
      <c r="K84" s="22"/>
      <c r="L84" s="22"/>
      <c r="M84" s="22"/>
      <c r="N84" s="22"/>
    </row>
    <row r="85" spans="1:14" ht="15.75" x14ac:dyDescent="0.25">
      <c r="A85" s="16">
        <v>43504</v>
      </c>
      <c r="B85" s="27" t="s">
        <v>21</v>
      </c>
      <c r="C85" s="2" t="s">
        <v>22</v>
      </c>
      <c r="D85" s="2" t="s">
        <v>27</v>
      </c>
      <c r="E85" s="2" t="s">
        <v>26</v>
      </c>
      <c r="F85" s="26">
        <v>160.63999999999999</v>
      </c>
      <c r="G85" s="26">
        <v>-24.1</v>
      </c>
      <c r="H85" s="26">
        <v>136.54</v>
      </c>
      <c r="I85" s="22"/>
      <c r="J85" s="22"/>
      <c r="K85" s="22"/>
      <c r="L85" s="22"/>
      <c r="M85" s="22"/>
      <c r="N85" s="22"/>
    </row>
    <row r="86" spans="1:14" ht="15.75" x14ac:dyDescent="0.25">
      <c r="A86" s="16">
        <v>43505</v>
      </c>
      <c r="B86" s="27" t="s">
        <v>21</v>
      </c>
      <c r="C86" s="2" t="s">
        <v>22</v>
      </c>
      <c r="D86" s="2" t="s">
        <v>23</v>
      </c>
      <c r="E86" s="2" t="s">
        <v>24</v>
      </c>
      <c r="F86" s="26">
        <v>-10.45</v>
      </c>
      <c r="G86" s="26">
        <v>0</v>
      </c>
      <c r="H86" s="26">
        <v>-10.45</v>
      </c>
      <c r="I86" s="22"/>
      <c r="J86" s="22"/>
      <c r="K86" s="22"/>
      <c r="L86" s="22"/>
      <c r="M86" s="22"/>
      <c r="N86" s="22"/>
    </row>
    <row r="87" spans="1:14" ht="15.75" x14ac:dyDescent="0.25">
      <c r="A87" s="16">
        <v>43518</v>
      </c>
      <c r="B87" s="27" t="s">
        <v>21</v>
      </c>
      <c r="C87" s="2" t="s">
        <v>22</v>
      </c>
      <c r="D87" s="2" t="s">
        <v>25</v>
      </c>
      <c r="E87" s="2" t="s">
        <v>26</v>
      </c>
      <c r="F87" s="26">
        <v>364.11</v>
      </c>
      <c r="G87" s="26">
        <v>-54.62</v>
      </c>
      <c r="H87" s="26">
        <v>309.49</v>
      </c>
      <c r="I87" s="22"/>
      <c r="J87" s="22"/>
      <c r="K87" s="22"/>
      <c r="L87" s="22"/>
      <c r="M87" s="22"/>
      <c r="N87" s="22"/>
    </row>
    <row r="88" spans="1:14" ht="15.75" x14ac:dyDescent="0.25">
      <c r="A88" s="16">
        <v>43518</v>
      </c>
      <c r="B88" s="27" t="s">
        <v>21</v>
      </c>
      <c r="C88" s="2" t="s">
        <v>22</v>
      </c>
      <c r="D88" s="2" t="s">
        <v>27</v>
      </c>
      <c r="E88" s="2" t="s">
        <v>26</v>
      </c>
      <c r="F88" s="26">
        <v>142.79</v>
      </c>
      <c r="G88" s="26">
        <v>-21.42</v>
      </c>
      <c r="H88" s="26">
        <v>121.37</v>
      </c>
      <c r="I88" s="22"/>
      <c r="J88" s="22"/>
      <c r="K88" s="22"/>
      <c r="L88" s="22"/>
      <c r="M88" s="22"/>
      <c r="N88" s="22"/>
    </row>
    <row r="89" spans="1:14" ht="15.75" x14ac:dyDescent="0.25">
      <c r="A89" s="16">
        <v>43532</v>
      </c>
      <c r="B89" s="27" t="s">
        <v>21</v>
      </c>
      <c r="C89" s="2" t="s">
        <v>22</v>
      </c>
      <c r="D89" s="2" t="s">
        <v>25</v>
      </c>
      <c r="E89" s="2" t="s">
        <v>26</v>
      </c>
      <c r="F89" s="26">
        <v>364.11</v>
      </c>
      <c r="G89" s="26">
        <v>-54.62</v>
      </c>
      <c r="H89" s="26">
        <v>309.49</v>
      </c>
      <c r="I89" s="22"/>
      <c r="J89" s="22"/>
      <c r="K89" s="22"/>
      <c r="L89" s="22"/>
      <c r="M89" s="22"/>
      <c r="N89" s="22"/>
    </row>
    <row r="90" spans="1:14" ht="15.75" x14ac:dyDescent="0.25">
      <c r="A90" s="16">
        <v>43532</v>
      </c>
      <c r="B90" s="27" t="s">
        <v>21</v>
      </c>
      <c r="C90" s="2" t="s">
        <v>22</v>
      </c>
      <c r="D90" s="2" t="s">
        <v>27</v>
      </c>
      <c r="E90" s="2" t="s">
        <v>26</v>
      </c>
      <c r="F90" s="26">
        <v>142.79</v>
      </c>
      <c r="G90" s="26">
        <v>-21.42</v>
      </c>
      <c r="H90" s="26">
        <v>121.37</v>
      </c>
      <c r="I90" s="22"/>
      <c r="J90" s="22"/>
      <c r="K90" s="22"/>
      <c r="L90" s="22"/>
      <c r="M90" s="22"/>
      <c r="N90" s="22"/>
    </row>
    <row r="91" spans="1:14" ht="15.75" x14ac:dyDescent="0.25">
      <c r="A91" s="16">
        <v>43533</v>
      </c>
      <c r="B91" s="27" t="s">
        <v>21</v>
      </c>
      <c r="C91" s="2" t="s">
        <v>22</v>
      </c>
      <c r="D91" s="2" t="s">
        <v>23</v>
      </c>
      <c r="E91" s="2" t="s">
        <v>24</v>
      </c>
      <c r="F91" s="26">
        <v>-9.44</v>
      </c>
      <c r="G91" s="26">
        <v>0</v>
      </c>
      <c r="H91" s="26">
        <v>-9.44</v>
      </c>
      <c r="I91" s="22"/>
      <c r="J91" s="22"/>
      <c r="K91" s="22"/>
      <c r="L91" s="22"/>
      <c r="M91" s="22"/>
      <c r="N91" s="22"/>
    </row>
    <row r="92" spans="1:14" ht="15.75" x14ac:dyDescent="0.25">
      <c r="A92" s="16">
        <v>43546</v>
      </c>
      <c r="B92" s="27" t="s">
        <v>21</v>
      </c>
      <c r="C92" s="2" t="s">
        <v>22</v>
      </c>
      <c r="D92" s="2" t="s">
        <v>25</v>
      </c>
      <c r="E92" s="2" t="s">
        <v>26</v>
      </c>
      <c r="F92" s="26">
        <v>364.11</v>
      </c>
      <c r="G92" s="26">
        <v>-54.62</v>
      </c>
      <c r="H92" s="26">
        <v>309.49</v>
      </c>
      <c r="I92" s="22"/>
      <c r="J92" s="22"/>
      <c r="K92" s="22"/>
      <c r="L92" s="22"/>
      <c r="M92" s="22"/>
      <c r="N92" s="22"/>
    </row>
    <row r="93" spans="1:14" ht="15.75" x14ac:dyDescent="0.25">
      <c r="A93" s="16">
        <v>43546</v>
      </c>
      <c r="B93" s="27" t="s">
        <v>21</v>
      </c>
      <c r="C93" s="2" t="s">
        <v>22</v>
      </c>
      <c r="D93" s="2" t="s">
        <v>27</v>
      </c>
      <c r="E93" s="2" t="s">
        <v>26</v>
      </c>
      <c r="F93" s="26">
        <v>142.79</v>
      </c>
      <c r="G93" s="26">
        <v>-21.42</v>
      </c>
      <c r="H93" s="26">
        <v>121.37</v>
      </c>
      <c r="I93" s="22"/>
      <c r="J93" s="22"/>
      <c r="K93" s="22"/>
      <c r="L93" s="22"/>
      <c r="M93" s="22"/>
      <c r="N93" s="22"/>
    </row>
    <row r="94" spans="1:14" ht="15.75" x14ac:dyDescent="0.25">
      <c r="A94" s="16">
        <v>43560</v>
      </c>
      <c r="B94" s="27" t="s">
        <v>21</v>
      </c>
      <c r="C94" s="2" t="s">
        <v>22</v>
      </c>
      <c r="D94" s="2" t="s">
        <v>25</v>
      </c>
      <c r="E94" s="2" t="s">
        <v>26</v>
      </c>
      <c r="F94" s="26">
        <v>364.11</v>
      </c>
      <c r="G94" s="26">
        <v>-54.62</v>
      </c>
      <c r="H94" s="26">
        <v>309.49</v>
      </c>
      <c r="I94" s="22"/>
      <c r="J94" s="22"/>
      <c r="K94" s="22"/>
      <c r="L94" s="22"/>
      <c r="M94" s="22"/>
      <c r="N94" s="22"/>
    </row>
    <row r="95" spans="1:14" ht="15.75" x14ac:dyDescent="0.25">
      <c r="A95" s="16">
        <v>43560</v>
      </c>
      <c r="B95" s="27" t="s">
        <v>21</v>
      </c>
      <c r="C95" s="2" t="s">
        <v>22</v>
      </c>
      <c r="D95" s="2" t="s">
        <v>27</v>
      </c>
      <c r="E95" s="2" t="s">
        <v>26</v>
      </c>
      <c r="F95" s="26">
        <v>142.79</v>
      </c>
      <c r="G95" s="26">
        <v>-21.42</v>
      </c>
      <c r="H95" s="26">
        <v>121.37</v>
      </c>
      <c r="I95" s="22"/>
      <c r="J95" s="22"/>
      <c r="K95" s="22"/>
      <c r="L95" s="22"/>
      <c r="M95" s="22"/>
      <c r="N95" s="22"/>
    </row>
    <row r="96" spans="1:14" ht="15.75" x14ac:dyDescent="0.25">
      <c r="A96" s="16">
        <v>43561</v>
      </c>
      <c r="B96" s="27" t="s">
        <v>21</v>
      </c>
      <c r="C96" s="2" t="s">
        <v>22</v>
      </c>
      <c r="D96" s="2" t="s">
        <v>23</v>
      </c>
      <c r="E96" s="2" t="s">
        <v>24</v>
      </c>
      <c r="F96" s="26">
        <v>-10.45</v>
      </c>
      <c r="G96" s="26">
        <v>0</v>
      </c>
      <c r="H96" s="26">
        <v>-10.45</v>
      </c>
      <c r="I96" s="22"/>
      <c r="J96" s="22"/>
      <c r="K96" s="22"/>
      <c r="L96" s="22"/>
      <c r="M96" s="22"/>
      <c r="N96" s="22"/>
    </row>
    <row r="97" spans="1:14" ht="15.75" x14ac:dyDescent="0.25">
      <c r="A97" s="16">
        <v>43573</v>
      </c>
      <c r="B97" s="27" t="s">
        <v>21</v>
      </c>
      <c r="C97" s="2" t="s">
        <v>22</v>
      </c>
      <c r="D97" s="2" t="s">
        <v>25</v>
      </c>
      <c r="E97" s="2" t="s">
        <v>26</v>
      </c>
      <c r="F97" s="26">
        <v>437.5</v>
      </c>
      <c r="G97" s="26">
        <v>-65.63</v>
      </c>
      <c r="H97" s="26">
        <v>371.87</v>
      </c>
      <c r="I97" s="22"/>
      <c r="J97" s="22"/>
      <c r="K97" s="22"/>
      <c r="L97" s="22"/>
      <c r="M97" s="22"/>
      <c r="N97" s="22"/>
    </row>
    <row r="98" spans="1:14" ht="15.75" x14ac:dyDescent="0.25">
      <c r="A98" s="16">
        <v>43573</v>
      </c>
      <c r="B98" s="27" t="s">
        <v>21</v>
      </c>
      <c r="C98" s="2" t="s">
        <v>22</v>
      </c>
      <c r="D98" s="2" t="s">
        <v>27</v>
      </c>
      <c r="E98" s="2" t="s">
        <v>26</v>
      </c>
      <c r="F98" s="26">
        <v>171.57</v>
      </c>
      <c r="G98" s="26">
        <v>-25.74</v>
      </c>
      <c r="H98" s="26">
        <v>145.83000000000001</v>
      </c>
      <c r="I98" s="22"/>
      <c r="J98" s="22"/>
      <c r="K98" s="22"/>
      <c r="L98" s="22"/>
      <c r="M98" s="22"/>
      <c r="N98" s="22"/>
    </row>
    <row r="99" spans="1:14" ht="15.75" x14ac:dyDescent="0.25">
      <c r="A99" s="16">
        <v>43588</v>
      </c>
      <c r="B99" s="27" t="s">
        <v>21</v>
      </c>
      <c r="C99" s="2" t="s">
        <v>22</v>
      </c>
      <c r="D99" s="2" t="s">
        <v>25</v>
      </c>
      <c r="E99" s="2" t="s">
        <v>26</v>
      </c>
      <c r="F99" s="26">
        <v>377.59</v>
      </c>
      <c r="G99" s="26">
        <v>-56.64</v>
      </c>
      <c r="H99" s="26">
        <v>320.95</v>
      </c>
      <c r="I99" s="22"/>
      <c r="J99" s="22"/>
      <c r="K99" s="22"/>
      <c r="L99" s="22"/>
      <c r="M99" s="22"/>
      <c r="N99" s="22"/>
    </row>
    <row r="100" spans="1:14" ht="15.75" x14ac:dyDescent="0.25">
      <c r="A100" s="16">
        <v>43588</v>
      </c>
      <c r="B100" s="27" t="s">
        <v>21</v>
      </c>
      <c r="C100" s="2" t="s">
        <v>22</v>
      </c>
      <c r="D100" s="2" t="s">
        <v>27</v>
      </c>
      <c r="E100" s="2" t="s">
        <v>26</v>
      </c>
      <c r="F100" s="26">
        <v>148.07</v>
      </c>
      <c r="G100" s="26">
        <v>-22.21</v>
      </c>
      <c r="H100" s="26">
        <v>125.86</v>
      </c>
      <c r="I100" s="22"/>
      <c r="J100" s="22"/>
      <c r="K100" s="22"/>
      <c r="L100" s="22"/>
      <c r="M100" s="22"/>
      <c r="N100" s="22"/>
    </row>
    <row r="101" spans="1:14" ht="15.75" x14ac:dyDescent="0.25">
      <c r="A101" s="16">
        <v>43596</v>
      </c>
      <c r="B101" s="27" t="s">
        <v>21</v>
      </c>
      <c r="C101" s="2" t="s">
        <v>22</v>
      </c>
      <c r="D101" s="2" t="s">
        <v>23</v>
      </c>
      <c r="E101" s="2" t="s">
        <v>24</v>
      </c>
      <c r="F101" s="26">
        <v>-10.11</v>
      </c>
      <c r="G101" s="26">
        <v>0</v>
      </c>
      <c r="H101" s="26">
        <v>-10.11</v>
      </c>
      <c r="I101" s="22"/>
      <c r="J101" s="22"/>
      <c r="K101" s="22"/>
      <c r="L101" s="22"/>
      <c r="M101" s="22"/>
      <c r="N101" s="22"/>
    </row>
    <row r="102" spans="1:14" ht="15.75" x14ac:dyDescent="0.25">
      <c r="A102" s="16">
        <v>43602</v>
      </c>
      <c r="B102" s="27" t="s">
        <v>21</v>
      </c>
      <c r="C102" s="2" t="s">
        <v>22</v>
      </c>
      <c r="D102" s="2" t="s">
        <v>25</v>
      </c>
      <c r="E102" s="2" t="s">
        <v>26</v>
      </c>
      <c r="F102" s="26">
        <v>376.13</v>
      </c>
      <c r="G102" s="26">
        <v>-56.42</v>
      </c>
      <c r="H102" s="26">
        <v>319.70999999999998</v>
      </c>
      <c r="I102" s="22"/>
      <c r="J102" s="22"/>
      <c r="K102" s="22"/>
      <c r="L102" s="22"/>
      <c r="M102" s="22"/>
      <c r="N102" s="22"/>
    </row>
    <row r="103" spans="1:14" ht="15.75" x14ac:dyDescent="0.25">
      <c r="A103" s="16">
        <v>43602</v>
      </c>
      <c r="B103" s="27" t="s">
        <v>21</v>
      </c>
      <c r="C103" s="2" t="s">
        <v>22</v>
      </c>
      <c r="D103" s="2" t="s">
        <v>27</v>
      </c>
      <c r="E103" s="2" t="s">
        <v>26</v>
      </c>
      <c r="F103" s="26">
        <v>147.5</v>
      </c>
      <c r="G103" s="26">
        <v>-22.13</v>
      </c>
      <c r="H103" s="26">
        <v>125.37</v>
      </c>
      <c r="I103" s="22"/>
      <c r="J103" s="22"/>
      <c r="K103" s="22"/>
      <c r="L103" s="22"/>
      <c r="M103" s="22"/>
      <c r="N103" s="22"/>
    </row>
    <row r="104" spans="1:14" ht="15.75" x14ac:dyDescent="0.25">
      <c r="A104" s="16">
        <v>43616</v>
      </c>
      <c r="B104" s="15" t="s">
        <v>21</v>
      </c>
      <c r="C104" t="s">
        <v>22</v>
      </c>
      <c r="D104" t="s">
        <v>25</v>
      </c>
      <c r="E104" t="s">
        <v>26</v>
      </c>
      <c r="F104" s="26">
        <v>373.21</v>
      </c>
      <c r="G104" s="26">
        <v>-55.98</v>
      </c>
      <c r="H104" s="26">
        <v>317.23</v>
      </c>
      <c r="I104" s="22"/>
      <c r="J104" s="22"/>
      <c r="K104" s="22"/>
      <c r="L104" s="22"/>
      <c r="M104" s="22"/>
      <c r="N104" s="22"/>
    </row>
    <row r="105" spans="1:14" ht="15.75" x14ac:dyDescent="0.25">
      <c r="A105" s="16">
        <v>43616</v>
      </c>
      <c r="B105" s="15" t="s">
        <v>21</v>
      </c>
      <c r="C105" t="s">
        <v>22</v>
      </c>
      <c r="D105" t="s">
        <v>27</v>
      </c>
      <c r="E105" t="s">
        <v>26</v>
      </c>
      <c r="F105" s="26">
        <v>146.36000000000001</v>
      </c>
      <c r="G105" s="26">
        <v>-21.95</v>
      </c>
      <c r="H105" s="26">
        <v>124.41</v>
      </c>
      <c r="I105" s="22"/>
      <c r="J105" s="22"/>
      <c r="K105" s="22"/>
      <c r="L105" s="22"/>
      <c r="M105" s="22"/>
      <c r="N105" s="22"/>
    </row>
    <row r="106" spans="1:14" ht="15.75" x14ac:dyDescent="0.25">
      <c r="A106" s="16">
        <v>43624</v>
      </c>
      <c r="B106" s="15" t="s">
        <v>21</v>
      </c>
      <c r="C106" t="s">
        <v>22</v>
      </c>
      <c r="D106" t="s">
        <v>23</v>
      </c>
      <c r="E106" t="s">
        <v>24</v>
      </c>
      <c r="F106" s="26">
        <v>-10.45</v>
      </c>
      <c r="G106" s="26">
        <v>0</v>
      </c>
      <c r="H106" s="26">
        <v>-10.45</v>
      </c>
      <c r="I106" s="22"/>
      <c r="J106" s="22"/>
      <c r="K106" s="22"/>
      <c r="L106" s="22"/>
      <c r="M106" s="22"/>
      <c r="N106" s="22"/>
    </row>
    <row r="107" spans="1:14" ht="15.75" x14ac:dyDescent="0.25">
      <c r="A107" s="16">
        <v>43630</v>
      </c>
      <c r="B107" s="15" t="s">
        <v>21</v>
      </c>
      <c r="C107" t="s">
        <v>22</v>
      </c>
      <c r="D107" t="s">
        <v>25</v>
      </c>
      <c r="E107" t="s">
        <v>26</v>
      </c>
      <c r="F107" s="26">
        <v>373.21</v>
      </c>
      <c r="G107" s="26">
        <v>-55.98</v>
      </c>
      <c r="H107" s="26">
        <v>317.23</v>
      </c>
      <c r="I107" s="22"/>
      <c r="J107" s="22"/>
      <c r="K107" s="22"/>
      <c r="L107" s="22"/>
      <c r="M107" s="22"/>
      <c r="N107" s="22"/>
    </row>
    <row r="108" spans="1:14" ht="15.75" x14ac:dyDescent="0.25">
      <c r="A108" s="16">
        <v>43630</v>
      </c>
      <c r="B108" s="15" t="s">
        <v>21</v>
      </c>
      <c r="C108" t="s">
        <v>22</v>
      </c>
      <c r="D108" t="s">
        <v>27</v>
      </c>
      <c r="E108" t="s">
        <v>26</v>
      </c>
      <c r="F108" s="26">
        <v>146.36000000000001</v>
      </c>
      <c r="G108" s="26">
        <v>-21.95</v>
      </c>
      <c r="H108" s="26">
        <v>124.41</v>
      </c>
      <c r="I108" s="22"/>
      <c r="J108" s="22"/>
      <c r="K108" s="22"/>
      <c r="L108" s="22"/>
      <c r="M108" s="22"/>
      <c r="N108" s="22"/>
    </row>
    <row r="109" spans="1:14" ht="15.75" x14ac:dyDescent="0.25">
      <c r="A109" s="16">
        <v>43643</v>
      </c>
      <c r="B109" s="15" t="s">
        <v>21</v>
      </c>
      <c r="C109" t="s">
        <v>22</v>
      </c>
      <c r="D109" t="s">
        <v>25</v>
      </c>
      <c r="E109" t="s">
        <v>26</v>
      </c>
      <c r="F109" s="26">
        <v>419.86</v>
      </c>
      <c r="G109" s="26">
        <v>-62.98</v>
      </c>
      <c r="H109" s="26">
        <v>356.88</v>
      </c>
      <c r="I109" s="22"/>
      <c r="J109" s="22"/>
      <c r="K109" s="22"/>
      <c r="L109" s="22"/>
      <c r="M109" s="22"/>
      <c r="N109" s="22"/>
    </row>
    <row r="110" spans="1:14" ht="15.75" x14ac:dyDescent="0.25">
      <c r="A110" s="16">
        <v>43643</v>
      </c>
      <c r="B110" s="15" t="s">
        <v>21</v>
      </c>
      <c r="C110" t="s">
        <v>22</v>
      </c>
      <c r="D110" t="s">
        <v>27</v>
      </c>
      <c r="E110" t="s">
        <v>26</v>
      </c>
      <c r="F110" s="26">
        <v>164.65</v>
      </c>
      <c r="G110" s="26">
        <v>-24.7</v>
      </c>
      <c r="H110" s="26">
        <v>139.94999999999999</v>
      </c>
      <c r="I110" s="22"/>
      <c r="J110" s="22"/>
      <c r="K110" s="22"/>
      <c r="L110" s="22"/>
      <c r="M110" s="22"/>
      <c r="N110" s="22"/>
    </row>
    <row r="111" spans="1:14" ht="15.75" x14ac:dyDescent="0.25">
      <c r="A111" s="16">
        <v>43652</v>
      </c>
      <c r="B111" s="15" t="s">
        <v>21</v>
      </c>
      <c r="C111" t="s">
        <v>22</v>
      </c>
      <c r="D111" t="s">
        <v>23</v>
      </c>
      <c r="E111" t="s">
        <v>24</v>
      </c>
      <c r="F111" s="26">
        <v>-10.119999999999999</v>
      </c>
      <c r="G111" s="26">
        <v>0</v>
      </c>
      <c r="H111" s="26">
        <v>-10.119999999999999</v>
      </c>
      <c r="I111" s="22"/>
      <c r="J111" s="22"/>
      <c r="K111" s="22"/>
      <c r="L111" s="22"/>
      <c r="M111" s="22"/>
      <c r="N111" s="22"/>
    </row>
    <row r="112" spans="1:14" ht="15.75" x14ac:dyDescent="0.25">
      <c r="A112" s="16">
        <v>43657</v>
      </c>
      <c r="B112" s="15" t="s">
        <v>21</v>
      </c>
      <c r="C112" t="s">
        <v>22</v>
      </c>
      <c r="D112" t="s">
        <v>25</v>
      </c>
      <c r="E112" t="s">
        <v>26</v>
      </c>
      <c r="F112" s="26">
        <v>373.21</v>
      </c>
      <c r="G112" s="26">
        <v>-55.98</v>
      </c>
      <c r="H112" s="26">
        <v>317.23</v>
      </c>
      <c r="I112" s="22"/>
      <c r="J112" s="22"/>
      <c r="K112" s="22"/>
      <c r="L112" s="22"/>
      <c r="M112" s="22"/>
      <c r="N112" s="22"/>
    </row>
    <row r="113" spans="1:14" ht="15.75" x14ac:dyDescent="0.25">
      <c r="A113" s="16">
        <v>43657</v>
      </c>
      <c r="B113" s="15" t="s">
        <v>21</v>
      </c>
      <c r="C113" t="s">
        <v>22</v>
      </c>
      <c r="D113" t="s">
        <v>27</v>
      </c>
      <c r="E113" t="s">
        <v>26</v>
      </c>
      <c r="F113" s="26">
        <v>146.36000000000001</v>
      </c>
      <c r="G113" s="26">
        <v>-21.95</v>
      </c>
      <c r="H113" s="26">
        <v>124.41</v>
      </c>
      <c r="I113" s="22"/>
      <c r="J113" s="22"/>
      <c r="K113" s="22"/>
      <c r="L113" s="22"/>
      <c r="M113" s="22"/>
      <c r="N113" s="22"/>
    </row>
    <row r="114" spans="1:14" ht="15.75" x14ac:dyDescent="0.25">
      <c r="A114" s="16">
        <v>43672</v>
      </c>
      <c r="B114" s="15" t="s">
        <v>21</v>
      </c>
      <c r="C114" t="s">
        <v>22</v>
      </c>
      <c r="D114" t="s">
        <v>25</v>
      </c>
      <c r="E114" t="s">
        <v>26</v>
      </c>
      <c r="F114" s="26">
        <v>373.21</v>
      </c>
      <c r="G114" s="26">
        <v>-55.98</v>
      </c>
      <c r="H114" s="26">
        <v>317.23</v>
      </c>
      <c r="I114" s="22"/>
      <c r="J114" s="22"/>
      <c r="K114" s="22"/>
      <c r="L114" s="22"/>
      <c r="M114" s="22"/>
      <c r="N114" s="22"/>
    </row>
    <row r="115" spans="1:14" ht="15.75" x14ac:dyDescent="0.25">
      <c r="A115" s="16">
        <v>43672</v>
      </c>
      <c r="B115" s="15" t="s">
        <v>21</v>
      </c>
      <c r="C115" t="s">
        <v>22</v>
      </c>
      <c r="D115" t="s">
        <v>27</v>
      </c>
      <c r="E115" t="s">
        <v>26</v>
      </c>
      <c r="F115" s="26">
        <v>146.36000000000001</v>
      </c>
      <c r="G115" s="26">
        <v>-21.95</v>
      </c>
      <c r="H115" s="26">
        <v>124.41</v>
      </c>
      <c r="I115" s="22"/>
      <c r="J115" s="22"/>
      <c r="K115" s="22"/>
      <c r="L115" s="22"/>
      <c r="M115" s="22"/>
      <c r="N115" s="22"/>
    </row>
    <row r="116" spans="1:14" ht="15.75" x14ac:dyDescent="0.25">
      <c r="A116" s="16">
        <v>43686</v>
      </c>
      <c r="B116" s="15" t="s">
        <v>21</v>
      </c>
      <c r="C116" t="s">
        <v>22</v>
      </c>
      <c r="D116" t="s">
        <v>25</v>
      </c>
      <c r="E116" t="s">
        <v>26</v>
      </c>
      <c r="F116" s="26">
        <v>373.21</v>
      </c>
      <c r="G116" s="26">
        <v>-55.98</v>
      </c>
      <c r="H116" s="26">
        <v>317.23</v>
      </c>
      <c r="I116" s="22"/>
      <c r="J116" s="22"/>
      <c r="K116" s="22"/>
      <c r="L116" s="22"/>
      <c r="M116" s="22"/>
      <c r="N116" s="22"/>
    </row>
    <row r="117" spans="1:14" ht="15.75" x14ac:dyDescent="0.25">
      <c r="A117" s="16">
        <v>43686</v>
      </c>
      <c r="B117" s="15" t="s">
        <v>21</v>
      </c>
      <c r="C117" t="s">
        <v>22</v>
      </c>
      <c r="D117" t="s">
        <v>27</v>
      </c>
      <c r="E117" t="s">
        <v>26</v>
      </c>
      <c r="F117" s="26">
        <v>146.36000000000001</v>
      </c>
      <c r="G117" s="26">
        <v>-21.95</v>
      </c>
      <c r="H117" s="26">
        <v>124.41</v>
      </c>
      <c r="I117" s="22"/>
      <c r="J117" s="22"/>
      <c r="K117" s="22"/>
      <c r="L117" s="22"/>
      <c r="M117" s="22"/>
      <c r="N117" s="22"/>
    </row>
    <row r="118" spans="1:14" ht="15.75" x14ac:dyDescent="0.25">
      <c r="A118" s="16">
        <v>43687</v>
      </c>
      <c r="B118" s="15" t="s">
        <v>21</v>
      </c>
      <c r="C118" t="s">
        <v>22</v>
      </c>
      <c r="D118" t="s">
        <v>23</v>
      </c>
      <c r="E118" t="s">
        <v>24</v>
      </c>
      <c r="F118" s="26">
        <v>-12.14</v>
      </c>
      <c r="G118" s="26">
        <v>0</v>
      </c>
      <c r="H118" s="26">
        <v>-12.14</v>
      </c>
      <c r="I118" s="22"/>
      <c r="J118" s="22"/>
      <c r="K118" s="22"/>
      <c r="L118" s="22"/>
      <c r="M118" s="22"/>
      <c r="N118" s="22"/>
    </row>
    <row r="119" spans="1:14" ht="15.75" x14ac:dyDescent="0.25">
      <c r="A119" s="16">
        <v>43700</v>
      </c>
      <c r="B119" s="15" t="s">
        <v>21</v>
      </c>
      <c r="C119" t="s">
        <v>22</v>
      </c>
      <c r="D119" t="s">
        <v>25</v>
      </c>
      <c r="E119" t="s">
        <v>26</v>
      </c>
      <c r="F119" s="26">
        <v>373.21</v>
      </c>
      <c r="G119" s="26">
        <v>-55.98</v>
      </c>
      <c r="H119" s="26">
        <v>317.23</v>
      </c>
      <c r="I119" s="22"/>
      <c r="J119" s="22"/>
      <c r="K119" s="22"/>
      <c r="L119" s="22"/>
      <c r="M119" s="22"/>
      <c r="N119" s="22"/>
    </row>
    <row r="120" spans="1:14" ht="15.75" x14ac:dyDescent="0.25">
      <c r="A120" s="16">
        <v>43700</v>
      </c>
      <c r="B120" s="15" t="s">
        <v>21</v>
      </c>
      <c r="C120" t="s">
        <v>22</v>
      </c>
      <c r="D120" t="s">
        <v>27</v>
      </c>
      <c r="E120" t="s">
        <v>26</v>
      </c>
      <c r="F120" s="26">
        <v>146.36000000000001</v>
      </c>
      <c r="G120" s="26">
        <v>-21.95</v>
      </c>
      <c r="H120" s="26">
        <v>124.41</v>
      </c>
      <c r="I120" s="22"/>
      <c r="J120" s="22"/>
      <c r="K120" s="22"/>
      <c r="L120" s="22"/>
      <c r="M120" s="22"/>
      <c r="N120" s="22"/>
    </row>
    <row r="121" spans="1:14" ht="15.75" x14ac:dyDescent="0.25">
      <c r="A121" s="16">
        <v>43714</v>
      </c>
      <c r="B121" s="15" t="s">
        <v>21</v>
      </c>
      <c r="C121" t="s">
        <v>22</v>
      </c>
      <c r="D121" t="s">
        <v>25</v>
      </c>
      <c r="E121" t="s">
        <v>26</v>
      </c>
      <c r="F121" s="26">
        <v>379.04</v>
      </c>
      <c r="G121" s="26">
        <v>-56.86</v>
      </c>
      <c r="H121" s="26">
        <v>322.18</v>
      </c>
      <c r="I121" s="22"/>
      <c r="J121" s="22"/>
      <c r="K121" s="22"/>
      <c r="L121" s="22"/>
      <c r="M121" s="22"/>
      <c r="N121" s="22"/>
    </row>
    <row r="122" spans="1:14" ht="15.75" x14ac:dyDescent="0.25">
      <c r="A122" s="16">
        <v>43714</v>
      </c>
      <c r="B122" s="15" t="s">
        <v>21</v>
      </c>
      <c r="C122" t="s">
        <v>22</v>
      </c>
      <c r="D122" t="s">
        <v>27</v>
      </c>
      <c r="E122" t="s">
        <v>26</v>
      </c>
      <c r="F122" s="26">
        <v>148.63999999999999</v>
      </c>
      <c r="G122" s="26">
        <v>-22.3</v>
      </c>
      <c r="H122" s="26">
        <v>126.34</v>
      </c>
      <c r="I122" s="22"/>
      <c r="J122" s="22"/>
      <c r="K122" s="22"/>
      <c r="L122" s="22"/>
      <c r="M122" s="22"/>
      <c r="N122" s="22"/>
    </row>
    <row r="123" spans="1:14" ht="15.75" x14ac:dyDescent="0.25">
      <c r="A123" s="16">
        <v>43715</v>
      </c>
      <c r="B123" s="15" t="s">
        <v>21</v>
      </c>
      <c r="C123" t="s">
        <v>22</v>
      </c>
      <c r="D123" t="s">
        <v>23</v>
      </c>
      <c r="E123" t="s">
        <v>24</v>
      </c>
      <c r="F123" s="26">
        <v>-12.27</v>
      </c>
      <c r="G123" s="26">
        <v>0</v>
      </c>
      <c r="H123" s="26">
        <v>-12.27</v>
      </c>
      <c r="I123" s="22"/>
      <c r="J123" s="22"/>
      <c r="K123" s="22"/>
      <c r="L123" s="22"/>
      <c r="M123" s="22"/>
      <c r="N123" s="22"/>
    </row>
    <row r="124" spans="1:14" ht="15.75" x14ac:dyDescent="0.25">
      <c r="A124" s="16">
        <v>43728</v>
      </c>
      <c r="B124" s="15" t="s">
        <v>21</v>
      </c>
      <c r="C124" t="s">
        <v>22</v>
      </c>
      <c r="D124" t="s">
        <v>25</v>
      </c>
      <c r="E124" t="s">
        <v>26</v>
      </c>
      <c r="F124" s="26">
        <v>373.21</v>
      </c>
      <c r="G124" s="26">
        <v>-55.98</v>
      </c>
      <c r="H124" s="26">
        <v>317.23</v>
      </c>
      <c r="I124" s="22"/>
      <c r="J124" s="22"/>
      <c r="K124" s="22"/>
      <c r="L124" s="22"/>
      <c r="M124" s="22"/>
      <c r="N124" s="22"/>
    </row>
    <row r="125" spans="1:14" ht="15.75" x14ac:dyDescent="0.25">
      <c r="A125" s="16">
        <v>43728</v>
      </c>
      <c r="B125" s="15" t="s">
        <v>21</v>
      </c>
      <c r="C125" t="s">
        <v>22</v>
      </c>
      <c r="D125" t="s">
        <v>27</v>
      </c>
      <c r="E125" t="s">
        <v>26</v>
      </c>
      <c r="F125" s="26">
        <v>146.36000000000001</v>
      </c>
      <c r="G125" s="26">
        <v>-21.95</v>
      </c>
      <c r="H125" s="26">
        <v>124.41</v>
      </c>
      <c r="I125" s="22"/>
      <c r="J125" s="22"/>
      <c r="K125" s="22"/>
      <c r="L125" s="22"/>
      <c r="M125" s="22"/>
      <c r="N125" s="22"/>
    </row>
    <row r="126" spans="1:14" ht="15.75" x14ac:dyDescent="0.25">
      <c r="A126" s="16">
        <v>43742</v>
      </c>
      <c r="B126" s="15" t="s">
        <v>21</v>
      </c>
      <c r="C126" t="s">
        <v>22</v>
      </c>
      <c r="D126" t="s">
        <v>25</v>
      </c>
      <c r="E126" t="s">
        <v>26</v>
      </c>
      <c r="F126" s="26">
        <v>373.21</v>
      </c>
      <c r="G126" s="26">
        <v>-55.98</v>
      </c>
      <c r="H126" s="26">
        <v>317.23</v>
      </c>
      <c r="I126" s="22"/>
      <c r="J126" s="22"/>
      <c r="K126" s="22"/>
      <c r="L126" s="22"/>
      <c r="M126" s="22"/>
      <c r="N126" s="22"/>
    </row>
    <row r="127" spans="1:14" ht="15.75" x14ac:dyDescent="0.25">
      <c r="A127" s="16">
        <v>43742</v>
      </c>
      <c r="B127" s="15" t="s">
        <v>21</v>
      </c>
      <c r="C127" t="s">
        <v>22</v>
      </c>
      <c r="D127" t="s">
        <v>27</v>
      </c>
      <c r="E127" t="s">
        <v>26</v>
      </c>
      <c r="F127" s="26">
        <v>146.36000000000001</v>
      </c>
      <c r="G127" s="26">
        <v>-21.95</v>
      </c>
      <c r="H127" s="26">
        <v>124.41</v>
      </c>
      <c r="I127" s="22"/>
      <c r="J127" s="22"/>
      <c r="K127" s="22"/>
      <c r="L127" s="22"/>
      <c r="M127" s="22"/>
      <c r="N127" s="22"/>
    </row>
    <row r="128" spans="1:14" ht="15.75" x14ac:dyDescent="0.25">
      <c r="A128" s="16">
        <v>43750</v>
      </c>
      <c r="B128" s="15" t="s">
        <v>21</v>
      </c>
      <c r="C128" t="s">
        <v>22</v>
      </c>
      <c r="D128" t="s">
        <v>23</v>
      </c>
      <c r="E128" t="s">
        <v>24</v>
      </c>
      <c r="F128" s="26">
        <v>-11.87</v>
      </c>
      <c r="G128" s="26">
        <v>0</v>
      </c>
      <c r="H128" s="26">
        <v>-11.87</v>
      </c>
      <c r="I128" s="22"/>
      <c r="J128" s="22"/>
      <c r="K128" s="22"/>
      <c r="L128" s="22"/>
      <c r="M128" s="22"/>
      <c r="N128" s="22"/>
    </row>
    <row r="129" spans="1:14" ht="15.75" x14ac:dyDescent="0.25">
      <c r="A129" s="16">
        <v>43759</v>
      </c>
      <c r="B129" s="15" t="s">
        <v>21</v>
      </c>
      <c r="C129" t="s">
        <v>22</v>
      </c>
      <c r="D129" t="s">
        <v>25</v>
      </c>
      <c r="E129" t="s">
        <v>26</v>
      </c>
      <c r="F129" s="26">
        <v>279.91000000000003</v>
      </c>
      <c r="G129" s="26">
        <v>-41.99</v>
      </c>
      <c r="H129" s="26">
        <v>237.92</v>
      </c>
      <c r="I129" s="22"/>
      <c r="J129" s="22"/>
      <c r="K129" s="22"/>
      <c r="L129" s="22"/>
      <c r="M129" s="22"/>
      <c r="N129" s="22"/>
    </row>
    <row r="130" spans="1:14" ht="15.75" x14ac:dyDescent="0.25">
      <c r="A130" s="16">
        <v>43759</v>
      </c>
      <c r="B130" s="15" t="s">
        <v>21</v>
      </c>
      <c r="C130" t="s">
        <v>22</v>
      </c>
      <c r="D130" t="s">
        <v>27</v>
      </c>
      <c r="E130" t="s">
        <v>26</v>
      </c>
      <c r="F130" s="26">
        <v>109.77</v>
      </c>
      <c r="G130" s="26">
        <v>-16.47</v>
      </c>
      <c r="H130" s="26">
        <v>93.3</v>
      </c>
      <c r="I130" s="22"/>
      <c r="J130" s="22"/>
      <c r="K130" s="22"/>
      <c r="L130" s="22"/>
      <c r="M130" s="22"/>
      <c r="N130" s="22"/>
    </row>
    <row r="131" spans="1:14" ht="15.75" x14ac:dyDescent="0.25">
      <c r="A131" s="16">
        <v>43770</v>
      </c>
      <c r="B131" s="15" t="s">
        <v>21</v>
      </c>
      <c r="C131" t="s">
        <v>22</v>
      </c>
      <c r="D131" t="s">
        <v>25</v>
      </c>
      <c r="E131" t="s">
        <v>26</v>
      </c>
      <c r="F131" s="26">
        <v>373.21</v>
      </c>
      <c r="G131" s="26">
        <v>-55.98</v>
      </c>
      <c r="H131" s="26">
        <v>317.23</v>
      </c>
      <c r="I131" s="22"/>
      <c r="J131" s="22"/>
      <c r="K131" s="22"/>
      <c r="L131" s="22"/>
      <c r="M131" s="22"/>
      <c r="N131" s="22"/>
    </row>
    <row r="132" spans="1:14" ht="15.75" x14ac:dyDescent="0.25">
      <c r="A132" s="16">
        <v>43770</v>
      </c>
      <c r="B132" s="15" t="s">
        <v>21</v>
      </c>
      <c r="C132" t="s">
        <v>22</v>
      </c>
      <c r="D132" t="s">
        <v>27</v>
      </c>
      <c r="E132" t="s">
        <v>26</v>
      </c>
      <c r="F132" s="26">
        <v>146.36000000000001</v>
      </c>
      <c r="G132" s="26">
        <v>-21.95</v>
      </c>
      <c r="H132" s="26">
        <v>124.41</v>
      </c>
      <c r="I132" s="22"/>
      <c r="J132" s="22"/>
      <c r="K132" s="22"/>
      <c r="L132" s="22"/>
      <c r="M132" s="22"/>
      <c r="N132" s="22"/>
    </row>
    <row r="133" spans="1:14" ht="15.75" x14ac:dyDescent="0.25">
      <c r="A133" s="16">
        <v>43778</v>
      </c>
      <c r="B133" s="15" t="s">
        <v>21</v>
      </c>
      <c r="C133" t="s">
        <v>22</v>
      </c>
      <c r="D133" t="s">
        <v>23</v>
      </c>
      <c r="E133" t="s">
        <v>24</v>
      </c>
      <c r="F133" s="26">
        <v>-12.27</v>
      </c>
      <c r="G133" s="26">
        <v>0</v>
      </c>
      <c r="H133" s="26">
        <v>-12.27</v>
      </c>
      <c r="I133" s="22"/>
      <c r="J133" s="22"/>
      <c r="K133" s="22"/>
      <c r="L133" s="22"/>
      <c r="M133" s="22"/>
      <c r="N133" s="22"/>
    </row>
    <row r="134" spans="1:14" ht="15.75" x14ac:dyDescent="0.25">
      <c r="A134" s="16">
        <v>43784</v>
      </c>
      <c r="B134" s="15" t="s">
        <v>21</v>
      </c>
      <c r="C134" t="s">
        <v>22</v>
      </c>
      <c r="D134" t="s">
        <v>25</v>
      </c>
      <c r="E134" t="s">
        <v>26</v>
      </c>
      <c r="F134" s="26">
        <v>373.21</v>
      </c>
      <c r="G134" s="26">
        <v>-55.98</v>
      </c>
      <c r="H134" s="26">
        <v>317.23</v>
      </c>
      <c r="I134" s="22"/>
      <c r="J134" s="22"/>
      <c r="K134" s="22"/>
      <c r="L134" s="22"/>
      <c r="M134" s="22"/>
      <c r="N134" s="22"/>
    </row>
    <row r="135" spans="1:14" ht="15.75" x14ac:dyDescent="0.25">
      <c r="A135" s="16">
        <v>43784</v>
      </c>
      <c r="B135" s="15" t="s">
        <v>21</v>
      </c>
      <c r="C135" t="s">
        <v>22</v>
      </c>
      <c r="D135" t="s">
        <v>27</v>
      </c>
      <c r="E135" t="s">
        <v>26</v>
      </c>
      <c r="F135" s="26">
        <v>146.36000000000001</v>
      </c>
      <c r="G135" s="26">
        <v>-21.95</v>
      </c>
      <c r="H135" s="26">
        <v>124.41</v>
      </c>
      <c r="I135" s="22"/>
      <c r="J135" s="22"/>
      <c r="K135" s="22"/>
      <c r="L135" s="22"/>
      <c r="M135" s="22"/>
      <c r="N135" s="22"/>
    </row>
    <row r="136" spans="1:14" ht="15.75" x14ac:dyDescent="0.25">
      <c r="A136" s="16">
        <v>43798</v>
      </c>
      <c r="B136" s="15" t="s">
        <v>21</v>
      </c>
      <c r="C136" t="s">
        <v>22</v>
      </c>
      <c r="D136" t="s">
        <v>25</v>
      </c>
      <c r="E136" t="s">
        <v>26</v>
      </c>
      <c r="F136" s="26">
        <v>373.21</v>
      </c>
      <c r="G136" s="26">
        <v>-55.98</v>
      </c>
      <c r="H136" s="26">
        <v>317.23</v>
      </c>
      <c r="I136" s="22"/>
      <c r="J136" s="22"/>
      <c r="K136" s="22"/>
      <c r="L136" s="22"/>
      <c r="M136" s="22"/>
      <c r="N136" s="22"/>
    </row>
    <row r="137" spans="1:14" ht="15.75" x14ac:dyDescent="0.25">
      <c r="A137" s="16">
        <v>43798</v>
      </c>
      <c r="B137" s="15" t="s">
        <v>21</v>
      </c>
      <c r="C137" t="s">
        <v>22</v>
      </c>
      <c r="D137" t="s">
        <v>27</v>
      </c>
      <c r="E137" t="s">
        <v>26</v>
      </c>
      <c r="F137" s="26">
        <v>146.36000000000001</v>
      </c>
      <c r="G137" s="26">
        <v>-21.95</v>
      </c>
      <c r="H137" s="26">
        <v>124.41</v>
      </c>
      <c r="I137" s="22"/>
      <c r="J137" s="22"/>
      <c r="K137" s="22"/>
      <c r="L137" s="22"/>
      <c r="M137" s="22"/>
      <c r="N137" s="22"/>
    </row>
    <row r="138" spans="1:14" ht="15.75" x14ac:dyDescent="0.25">
      <c r="A138" s="16">
        <v>43806</v>
      </c>
      <c r="B138" s="15" t="s">
        <v>21</v>
      </c>
      <c r="C138" t="s">
        <v>22</v>
      </c>
      <c r="D138" t="s">
        <v>23</v>
      </c>
      <c r="E138" t="s">
        <v>24</v>
      </c>
      <c r="F138" s="26">
        <v>-11.87</v>
      </c>
      <c r="G138" s="26">
        <v>0</v>
      </c>
      <c r="H138" s="26">
        <v>-11.87</v>
      </c>
      <c r="I138" s="22"/>
      <c r="J138" s="22"/>
      <c r="K138" s="22"/>
      <c r="L138" s="22"/>
      <c r="M138" s="22"/>
      <c r="N138" s="22"/>
    </row>
    <row r="139" spans="1:14" ht="15.75" x14ac:dyDescent="0.25">
      <c r="A139" s="16">
        <v>43812</v>
      </c>
      <c r="B139" t="s">
        <v>21</v>
      </c>
      <c r="C139" t="s">
        <v>22</v>
      </c>
      <c r="D139" t="s">
        <v>25</v>
      </c>
      <c r="E139" t="s">
        <v>26</v>
      </c>
      <c r="F139" s="71">
        <v>373.21</v>
      </c>
      <c r="G139" s="71">
        <v>-55.98</v>
      </c>
      <c r="H139" s="71">
        <v>317.23</v>
      </c>
      <c r="I139" s="22"/>
      <c r="J139" s="22"/>
      <c r="K139" s="22"/>
      <c r="L139" s="22"/>
      <c r="M139" s="22"/>
      <c r="N139" s="22"/>
    </row>
    <row r="140" spans="1:14" ht="15.75" x14ac:dyDescent="0.25">
      <c r="A140" s="16">
        <v>43812</v>
      </c>
      <c r="B140" t="s">
        <v>21</v>
      </c>
      <c r="C140" t="s">
        <v>22</v>
      </c>
      <c r="D140" t="s">
        <v>27</v>
      </c>
      <c r="E140" t="s">
        <v>26</v>
      </c>
      <c r="F140" s="71">
        <v>146.36000000000001</v>
      </c>
      <c r="G140" s="71">
        <v>-21.95</v>
      </c>
      <c r="H140" s="71">
        <v>124.41</v>
      </c>
      <c r="I140" s="22"/>
      <c r="J140" s="22"/>
      <c r="K140" s="22"/>
      <c r="L140" s="22"/>
      <c r="M140" s="22"/>
      <c r="N140" s="22"/>
    </row>
    <row r="141" spans="1:14" ht="15.75" x14ac:dyDescent="0.25">
      <c r="A141" s="16">
        <v>43830</v>
      </c>
      <c r="B141" t="s">
        <v>21</v>
      </c>
      <c r="C141" t="s">
        <v>22</v>
      </c>
      <c r="D141" t="s">
        <v>25</v>
      </c>
      <c r="E141" t="s">
        <v>26</v>
      </c>
      <c r="F141" s="71">
        <v>373.21</v>
      </c>
      <c r="G141" s="71">
        <v>-55.98</v>
      </c>
      <c r="H141" s="71">
        <v>317.23</v>
      </c>
      <c r="I141" s="22"/>
      <c r="J141" s="22"/>
      <c r="K141" s="22"/>
      <c r="L141" s="22"/>
      <c r="M141" s="22"/>
      <c r="N141" s="22"/>
    </row>
    <row r="142" spans="1:14" ht="15.75" x14ac:dyDescent="0.25">
      <c r="A142" s="16">
        <v>43830</v>
      </c>
      <c r="B142" t="s">
        <v>21</v>
      </c>
      <c r="C142" t="s">
        <v>22</v>
      </c>
      <c r="D142" t="s">
        <v>27</v>
      </c>
      <c r="E142" t="s">
        <v>26</v>
      </c>
      <c r="F142" s="71">
        <v>146.36000000000001</v>
      </c>
      <c r="G142" s="71">
        <v>-21.95</v>
      </c>
      <c r="H142" s="71">
        <v>124.41</v>
      </c>
      <c r="I142" s="22"/>
      <c r="J142" s="22"/>
      <c r="K142" s="22"/>
      <c r="L142" s="22"/>
      <c r="M142" s="22"/>
      <c r="N142" s="22"/>
    </row>
    <row r="143" spans="1:14" ht="15.75" x14ac:dyDescent="0.25">
      <c r="A143" s="16">
        <v>43840</v>
      </c>
      <c r="B143" t="s">
        <v>21</v>
      </c>
      <c r="C143" t="s">
        <v>22</v>
      </c>
      <c r="D143" t="s">
        <v>25</v>
      </c>
      <c r="E143" t="s">
        <v>26</v>
      </c>
      <c r="F143" s="71">
        <v>373.21</v>
      </c>
      <c r="G143" s="71">
        <v>-55.98</v>
      </c>
      <c r="H143" s="71">
        <v>317.23</v>
      </c>
      <c r="I143" s="22"/>
      <c r="J143" s="22"/>
      <c r="K143" s="22"/>
      <c r="L143" s="22"/>
      <c r="M143" s="22"/>
      <c r="N143" s="22"/>
    </row>
    <row r="144" spans="1:14" ht="15.75" x14ac:dyDescent="0.25">
      <c r="A144" s="16">
        <v>43840</v>
      </c>
      <c r="B144" t="s">
        <v>21</v>
      </c>
      <c r="C144" t="s">
        <v>22</v>
      </c>
      <c r="D144" t="s">
        <v>27</v>
      </c>
      <c r="E144" t="s">
        <v>26</v>
      </c>
      <c r="F144" s="71">
        <v>146.36000000000001</v>
      </c>
      <c r="G144" s="71">
        <v>-21.95</v>
      </c>
      <c r="H144" s="71">
        <v>124.41</v>
      </c>
      <c r="I144" s="22"/>
      <c r="J144" s="22"/>
      <c r="K144" s="22"/>
      <c r="L144" s="22"/>
      <c r="M144" s="22"/>
      <c r="N144" s="22"/>
    </row>
    <row r="145" spans="1:14" ht="15.75" x14ac:dyDescent="0.25">
      <c r="A145" s="16">
        <v>43841</v>
      </c>
      <c r="B145" t="s">
        <v>21</v>
      </c>
      <c r="C145" t="s">
        <v>22</v>
      </c>
      <c r="D145" t="s">
        <v>23</v>
      </c>
      <c r="E145" t="s">
        <v>24</v>
      </c>
      <c r="F145" s="71">
        <v>-12.27</v>
      </c>
      <c r="G145" s="71">
        <v>0</v>
      </c>
      <c r="H145" s="71">
        <v>-12.27</v>
      </c>
      <c r="I145" s="22"/>
      <c r="J145" s="22"/>
      <c r="K145" s="22"/>
      <c r="L145" s="22"/>
      <c r="M145" s="22"/>
      <c r="N145" s="22"/>
    </row>
    <row r="146" spans="1:14" ht="15.75" x14ac:dyDescent="0.25">
      <c r="A146" s="16">
        <v>43854</v>
      </c>
      <c r="B146" t="s">
        <v>21</v>
      </c>
      <c r="C146" t="s">
        <v>22</v>
      </c>
      <c r="D146" t="s">
        <v>25</v>
      </c>
      <c r="E146" t="s">
        <v>26</v>
      </c>
      <c r="F146" s="71">
        <v>373.21</v>
      </c>
      <c r="G146" s="71">
        <v>-55.98</v>
      </c>
      <c r="H146" s="71">
        <v>317.23</v>
      </c>
      <c r="I146" s="22"/>
      <c r="J146" s="22"/>
      <c r="K146" s="22"/>
      <c r="L146" s="22"/>
      <c r="M146" s="22"/>
      <c r="N146" s="22"/>
    </row>
    <row r="147" spans="1:14" ht="15.75" x14ac:dyDescent="0.25">
      <c r="A147" s="16">
        <v>43854</v>
      </c>
      <c r="B147" t="s">
        <v>21</v>
      </c>
      <c r="C147" t="s">
        <v>22</v>
      </c>
      <c r="D147" t="s">
        <v>27</v>
      </c>
      <c r="E147" t="s">
        <v>26</v>
      </c>
      <c r="F147" s="71">
        <v>146.36000000000001</v>
      </c>
      <c r="G147" s="71">
        <v>-21.95</v>
      </c>
      <c r="H147" s="71">
        <v>124.41</v>
      </c>
      <c r="I147" s="22"/>
      <c r="J147" s="22"/>
      <c r="K147" s="22"/>
      <c r="L147" s="22"/>
      <c r="M147" s="22"/>
      <c r="N147" s="22"/>
    </row>
    <row r="148" spans="1:14" ht="15.75" x14ac:dyDescent="0.25">
      <c r="A148" s="16">
        <v>43868</v>
      </c>
      <c r="B148" t="s">
        <v>21</v>
      </c>
      <c r="C148" t="s">
        <v>22</v>
      </c>
      <c r="D148" t="s">
        <v>25</v>
      </c>
      <c r="E148" t="s">
        <v>26</v>
      </c>
      <c r="F148" s="71">
        <v>379.04</v>
      </c>
      <c r="G148" s="71">
        <v>-56.86</v>
      </c>
      <c r="H148" s="71">
        <v>322.18</v>
      </c>
      <c r="I148" s="22"/>
      <c r="J148" s="22"/>
      <c r="K148" s="22"/>
      <c r="L148" s="22"/>
      <c r="M148" s="22"/>
      <c r="N148" s="22"/>
    </row>
    <row r="149" spans="1:14" ht="15.75" x14ac:dyDescent="0.25">
      <c r="A149" s="16">
        <v>43868</v>
      </c>
      <c r="B149" t="s">
        <v>21</v>
      </c>
      <c r="C149" t="s">
        <v>22</v>
      </c>
      <c r="D149" t="s">
        <v>27</v>
      </c>
      <c r="E149" t="s">
        <v>26</v>
      </c>
      <c r="F149" s="71">
        <v>148.63999999999999</v>
      </c>
      <c r="G149" s="71">
        <v>-22.3</v>
      </c>
      <c r="H149" s="71">
        <v>126.34</v>
      </c>
      <c r="I149" s="22"/>
      <c r="J149" s="22"/>
      <c r="K149" s="22"/>
      <c r="L149" s="22"/>
      <c r="M149" s="22"/>
      <c r="N149" s="22"/>
    </row>
    <row r="150" spans="1:14" ht="15.75" x14ac:dyDescent="0.25">
      <c r="A150" s="16">
        <v>43869</v>
      </c>
      <c r="B150" t="s">
        <v>21</v>
      </c>
      <c r="C150" t="s">
        <v>22</v>
      </c>
      <c r="D150" t="s">
        <v>23</v>
      </c>
      <c r="E150" t="s">
        <v>24</v>
      </c>
      <c r="F150" s="71">
        <v>-12.27</v>
      </c>
      <c r="G150" s="71">
        <v>0</v>
      </c>
      <c r="H150" s="71">
        <v>-12.27</v>
      </c>
      <c r="I150" s="22"/>
      <c r="J150" s="22"/>
      <c r="K150" s="22"/>
      <c r="L150" s="22"/>
      <c r="M150" s="22"/>
      <c r="N150" s="22"/>
    </row>
    <row r="151" spans="1:14" ht="15.75" x14ac:dyDescent="0.25">
      <c r="A151" s="16">
        <v>43882</v>
      </c>
      <c r="B151" t="s">
        <v>21</v>
      </c>
      <c r="C151" t="s">
        <v>22</v>
      </c>
      <c r="D151" t="s">
        <v>25</v>
      </c>
      <c r="E151" t="s">
        <v>26</v>
      </c>
      <c r="F151" s="71">
        <v>373.21</v>
      </c>
      <c r="G151" s="71">
        <v>-55.98</v>
      </c>
      <c r="H151" s="71">
        <v>317.23</v>
      </c>
      <c r="I151" s="22"/>
      <c r="J151" s="22"/>
      <c r="K151" s="22"/>
      <c r="L151" s="22"/>
      <c r="M151" s="22"/>
      <c r="N151" s="22"/>
    </row>
    <row r="152" spans="1:14" ht="15.75" x14ac:dyDescent="0.25">
      <c r="A152" s="16">
        <v>43882</v>
      </c>
      <c r="B152" t="s">
        <v>21</v>
      </c>
      <c r="C152" t="s">
        <v>22</v>
      </c>
      <c r="D152" t="s">
        <v>27</v>
      </c>
      <c r="E152" t="s">
        <v>26</v>
      </c>
      <c r="F152" s="71">
        <v>146.36000000000001</v>
      </c>
      <c r="G152" s="71">
        <v>-21.95</v>
      </c>
      <c r="H152" s="71">
        <v>124.41</v>
      </c>
      <c r="I152" s="22"/>
      <c r="J152" s="22"/>
      <c r="K152" s="22"/>
      <c r="L152" s="22"/>
      <c r="M152" s="22"/>
      <c r="N152" s="22"/>
    </row>
    <row r="153" spans="1:14" ht="15.75" x14ac:dyDescent="0.25">
      <c r="A153" s="16">
        <v>43896</v>
      </c>
      <c r="B153" t="s">
        <v>21</v>
      </c>
      <c r="C153" t="s">
        <v>22</v>
      </c>
      <c r="D153" t="s">
        <v>25</v>
      </c>
      <c r="E153" t="s">
        <v>26</v>
      </c>
      <c r="F153" s="71">
        <v>373.21</v>
      </c>
      <c r="G153" s="71">
        <v>-55.98</v>
      </c>
      <c r="H153" s="71">
        <v>317.23</v>
      </c>
      <c r="I153" s="22"/>
      <c r="J153" s="22"/>
      <c r="K153" s="22"/>
      <c r="L153" s="22"/>
      <c r="M153" s="22"/>
      <c r="N153" s="22"/>
    </row>
    <row r="154" spans="1:14" ht="15.75" x14ac:dyDescent="0.25">
      <c r="A154" s="16">
        <v>43896</v>
      </c>
      <c r="B154" t="s">
        <v>21</v>
      </c>
      <c r="C154" t="s">
        <v>22</v>
      </c>
      <c r="D154" t="s">
        <v>27</v>
      </c>
      <c r="E154" t="s">
        <v>26</v>
      </c>
      <c r="F154" s="71">
        <v>146.36000000000001</v>
      </c>
      <c r="G154" s="71">
        <v>-21.95</v>
      </c>
      <c r="H154" s="71">
        <v>124.41</v>
      </c>
      <c r="I154" s="22"/>
      <c r="J154" s="22"/>
      <c r="K154" s="22"/>
      <c r="L154" s="22"/>
      <c r="M154" s="22"/>
      <c r="N154" s="22"/>
    </row>
    <row r="155" spans="1:14" ht="15.75" x14ac:dyDescent="0.25">
      <c r="A155" s="16">
        <v>43897</v>
      </c>
      <c r="B155" t="s">
        <v>21</v>
      </c>
      <c r="C155" t="s">
        <v>22</v>
      </c>
      <c r="D155" t="s">
        <v>23</v>
      </c>
      <c r="E155" t="s">
        <v>24</v>
      </c>
      <c r="F155" s="71">
        <v>-11.47</v>
      </c>
      <c r="G155" s="71">
        <v>0</v>
      </c>
      <c r="H155" s="71">
        <v>-11.47</v>
      </c>
      <c r="I155" s="22"/>
      <c r="J155" s="22"/>
      <c r="K155" s="22"/>
      <c r="L155" s="22"/>
      <c r="M155" s="22"/>
      <c r="N155" s="22"/>
    </row>
    <row r="156" spans="1:14" ht="15.75" x14ac:dyDescent="0.25">
      <c r="A156" s="16">
        <v>43910</v>
      </c>
      <c r="B156" t="s">
        <v>21</v>
      </c>
      <c r="C156" t="s">
        <v>22</v>
      </c>
      <c r="D156" t="s">
        <v>25</v>
      </c>
      <c r="E156" t="s">
        <v>26</v>
      </c>
      <c r="F156" s="71">
        <v>373.21</v>
      </c>
      <c r="G156" s="71">
        <v>-55.98</v>
      </c>
      <c r="H156" s="71">
        <v>317.23</v>
      </c>
      <c r="I156" s="22"/>
      <c r="J156" s="22"/>
      <c r="K156" s="22"/>
      <c r="L156" s="22"/>
      <c r="M156" s="22"/>
      <c r="N156" s="22"/>
    </row>
    <row r="157" spans="1:14" ht="15.75" x14ac:dyDescent="0.25">
      <c r="A157" s="16">
        <v>43910</v>
      </c>
      <c r="B157" t="s">
        <v>21</v>
      </c>
      <c r="C157" t="s">
        <v>22</v>
      </c>
      <c r="D157" t="s">
        <v>27</v>
      </c>
      <c r="E157" t="s">
        <v>26</v>
      </c>
      <c r="F157" s="71">
        <v>146.36000000000001</v>
      </c>
      <c r="G157" s="71">
        <v>-21.95</v>
      </c>
      <c r="H157" s="71">
        <v>124.41</v>
      </c>
      <c r="I157" s="22"/>
      <c r="J157" s="22"/>
      <c r="K157" s="22"/>
      <c r="L157" s="22"/>
      <c r="M157" s="22"/>
      <c r="N157" s="22"/>
    </row>
    <row r="158" spans="1:14" ht="15.75" x14ac:dyDescent="0.25">
      <c r="A158" s="16">
        <v>43924</v>
      </c>
      <c r="B158" t="s">
        <v>21</v>
      </c>
      <c r="C158" t="s">
        <v>22</v>
      </c>
      <c r="D158" t="s">
        <v>25</v>
      </c>
      <c r="E158" t="s">
        <v>26</v>
      </c>
      <c r="F158" s="71">
        <v>373.21</v>
      </c>
      <c r="G158" s="71">
        <v>-55.98</v>
      </c>
      <c r="H158" s="71">
        <v>317.23</v>
      </c>
      <c r="I158" s="22"/>
      <c r="J158" s="22"/>
      <c r="K158" s="22"/>
      <c r="L158" s="22"/>
      <c r="M158" s="22"/>
      <c r="N158" s="22"/>
    </row>
    <row r="159" spans="1:14" ht="15.75" x14ac:dyDescent="0.25">
      <c r="A159" s="16">
        <v>43924</v>
      </c>
      <c r="B159" t="s">
        <v>21</v>
      </c>
      <c r="C159" t="s">
        <v>22</v>
      </c>
      <c r="D159" t="s">
        <v>27</v>
      </c>
      <c r="E159" t="s">
        <v>26</v>
      </c>
      <c r="F159" s="71">
        <v>146.36000000000001</v>
      </c>
      <c r="G159" s="71">
        <v>-21.95</v>
      </c>
      <c r="H159" s="71">
        <v>124.41</v>
      </c>
      <c r="I159" s="22"/>
      <c r="J159" s="22"/>
      <c r="K159" s="22"/>
      <c r="L159" s="22"/>
      <c r="M159" s="22"/>
      <c r="N159" s="22"/>
    </row>
    <row r="160" spans="1:14" ht="15.75" x14ac:dyDescent="0.25">
      <c r="A160" s="16">
        <v>43932</v>
      </c>
      <c r="B160" t="s">
        <v>21</v>
      </c>
      <c r="C160" t="s">
        <v>22</v>
      </c>
      <c r="D160" t="s">
        <v>23</v>
      </c>
      <c r="E160" t="s">
        <v>24</v>
      </c>
      <c r="F160" s="71">
        <v>-12.27</v>
      </c>
      <c r="G160" s="71">
        <v>0</v>
      </c>
      <c r="H160" s="71">
        <v>-12.27</v>
      </c>
      <c r="I160" s="22"/>
      <c r="J160" s="22"/>
      <c r="K160" s="22"/>
      <c r="L160" s="22"/>
      <c r="M160" s="22"/>
      <c r="N160" s="22"/>
    </row>
    <row r="161" spans="1:14" ht="15.75" x14ac:dyDescent="0.25">
      <c r="A161" s="16">
        <v>43938</v>
      </c>
      <c r="B161" t="s">
        <v>21</v>
      </c>
      <c r="C161" t="s">
        <v>22</v>
      </c>
      <c r="D161" t="s">
        <v>25</v>
      </c>
      <c r="E161" t="s">
        <v>26</v>
      </c>
      <c r="F161" s="71">
        <v>388.37</v>
      </c>
      <c r="G161" s="71">
        <v>-58.26</v>
      </c>
      <c r="H161" s="71">
        <v>330.11</v>
      </c>
      <c r="I161" s="22"/>
      <c r="J161" s="22"/>
      <c r="K161" s="22"/>
      <c r="L161" s="22"/>
      <c r="M161" s="22"/>
      <c r="N161" s="22"/>
    </row>
    <row r="162" spans="1:14" ht="15.75" x14ac:dyDescent="0.25">
      <c r="A162" s="16">
        <v>43938</v>
      </c>
      <c r="B162" t="s">
        <v>21</v>
      </c>
      <c r="C162" t="s">
        <v>22</v>
      </c>
      <c r="D162" t="s">
        <v>27</v>
      </c>
      <c r="E162" t="s">
        <v>26</v>
      </c>
      <c r="F162" s="71">
        <v>152.30000000000001</v>
      </c>
      <c r="G162" s="71">
        <v>-22.85</v>
      </c>
      <c r="H162" s="71">
        <v>129.44999999999999</v>
      </c>
      <c r="I162" s="22"/>
      <c r="J162" s="22"/>
      <c r="K162" s="22"/>
      <c r="L162" s="22"/>
      <c r="M162" s="22"/>
      <c r="N162" s="22"/>
    </row>
    <row r="163" spans="1:14" ht="15.75" x14ac:dyDescent="0.25">
      <c r="A163" s="16">
        <v>43952</v>
      </c>
      <c r="B163" t="s">
        <v>21</v>
      </c>
      <c r="C163" t="s">
        <v>22</v>
      </c>
      <c r="D163" t="s">
        <v>25</v>
      </c>
      <c r="E163" t="s">
        <v>26</v>
      </c>
      <c r="F163" s="71">
        <v>406.45</v>
      </c>
      <c r="G163" s="71">
        <v>-60.97</v>
      </c>
      <c r="H163" s="71">
        <v>345.48</v>
      </c>
      <c r="I163" s="22"/>
      <c r="J163" s="22"/>
      <c r="K163" s="22"/>
      <c r="L163" s="22"/>
      <c r="M163" s="22"/>
      <c r="N163" s="22"/>
    </row>
    <row r="164" spans="1:14" ht="15.75" x14ac:dyDescent="0.25">
      <c r="A164" s="16">
        <v>43952</v>
      </c>
      <c r="B164" t="s">
        <v>21</v>
      </c>
      <c r="C164" t="s">
        <v>22</v>
      </c>
      <c r="D164" t="s">
        <v>27</v>
      </c>
      <c r="E164" t="s">
        <v>26</v>
      </c>
      <c r="F164" s="71">
        <v>159.38999999999999</v>
      </c>
      <c r="G164" s="71">
        <v>-23.91</v>
      </c>
      <c r="H164" s="71">
        <v>135.47999999999999</v>
      </c>
      <c r="I164" s="22"/>
      <c r="J164" s="22"/>
      <c r="K164" s="22"/>
      <c r="L164" s="22"/>
      <c r="M164" s="22"/>
      <c r="N164" s="22"/>
    </row>
    <row r="165" spans="1:14" ht="15.75" x14ac:dyDescent="0.25">
      <c r="A165" s="16">
        <v>43960</v>
      </c>
      <c r="B165" t="s">
        <v>21</v>
      </c>
      <c r="C165" t="s">
        <v>22</v>
      </c>
      <c r="D165" t="s">
        <v>23</v>
      </c>
      <c r="E165" t="s">
        <v>24</v>
      </c>
      <c r="F165" s="71">
        <v>-11.87</v>
      </c>
      <c r="G165" s="71">
        <v>0</v>
      </c>
      <c r="H165" s="71">
        <v>-11.87</v>
      </c>
      <c r="I165" s="22"/>
      <c r="J165" s="22"/>
      <c r="K165" s="22"/>
      <c r="L165" s="22"/>
      <c r="M165" s="22"/>
      <c r="N165" s="22"/>
    </row>
    <row r="166" spans="1:14" ht="15.75" x14ac:dyDescent="0.25">
      <c r="A166" s="16">
        <v>43966</v>
      </c>
      <c r="B166" t="s">
        <v>21</v>
      </c>
      <c r="C166" t="s">
        <v>22</v>
      </c>
      <c r="D166" t="s">
        <v>25</v>
      </c>
      <c r="E166" t="s">
        <v>26</v>
      </c>
      <c r="F166" s="71">
        <v>430.36</v>
      </c>
      <c r="G166" s="71">
        <v>-64.55</v>
      </c>
      <c r="H166" s="71">
        <v>365.81</v>
      </c>
      <c r="I166" s="22"/>
      <c r="J166" s="22"/>
      <c r="K166" s="22"/>
      <c r="L166" s="22"/>
      <c r="M166" s="22"/>
      <c r="N166" s="22"/>
    </row>
    <row r="167" spans="1:14" ht="15.75" x14ac:dyDescent="0.25">
      <c r="A167" s="16">
        <v>43966</v>
      </c>
      <c r="B167" t="s">
        <v>21</v>
      </c>
      <c r="C167" t="s">
        <v>22</v>
      </c>
      <c r="D167" t="s">
        <v>27</v>
      </c>
      <c r="E167" t="s">
        <v>26</v>
      </c>
      <c r="F167" s="71">
        <v>168.77</v>
      </c>
      <c r="G167" s="71">
        <v>-25.32</v>
      </c>
      <c r="H167" s="71">
        <v>143.44999999999999</v>
      </c>
      <c r="I167" s="22"/>
      <c r="J167" s="22"/>
      <c r="K167" s="22"/>
      <c r="L167" s="22"/>
      <c r="M167" s="22"/>
      <c r="N167" s="22"/>
    </row>
    <row r="168" spans="1:14" ht="15.75" x14ac:dyDescent="0.25">
      <c r="A168" s="16">
        <v>43980</v>
      </c>
      <c r="B168" t="s">
        <v>21</v>
      </c>
      <c r="C168" t="s">
        <v>22</v>
      </c>
      <c r="D168" t="s">
        <v>25</v>
      </c>
      <c r="E168" t="s">
        <v>26</v>
      </c>
      <c r="F168" s="71">
        <v>382.54</v>
      </c>
      <c r="G168" s="71">
        <v>-57.38</v>
      </c>
      <c r="H168" s="71">
        <v>325.16000000000003</v>
      </c>
      <c r="I168" s="22"/>
      <c r="J168" s="22"/>
      <c r="K168" s="22"/>
      <c r="L168" s="22"/>
      <c r="M168" s="22"/>
      <c r="N168" s="22"/>
    </row>
    <row r="169" spans="1:14" ht="15.75" x14ac:dyDescent="0.25">
      <c r="A169" s="16">
        <v>43980</v>
      </c>
      <c r="B169" t="s">
        <v>21</v>
      </c>
      <c r="C169" t="s">
        <v>22</v>
      </c>
      <c r="D169" t="s">
        <v>27</v>
      </c>
      <c r="E169" t="s">
        <v>26</v>
      </c>
      <c r="F169" s="71">
        <v>150.02000000000001</v>
      </c>
      <c r="G169" s="71">
        <v>-22.5</v>
      </c>
      <c r="H169" s="71">
        <v>127.52</v>
      </c>
      <c r="I169" s="22"/>
      <c r="J169" s="22"/>
      <c r="K169" s="22"/>
      <c r="L169" s="22"/>
      <c r="M169" s="22"/>
      <c r="N169" s="22"/>
    </row>
    <row r="170" spans="1:14" ht="15.75" x14ac:dyDescent="0.25">
      <c r="A170" s="16">
        <v>43988</v>
      </c>
      <c r="B170" t="s">
        <v>21</v>
      </c>
      <c r="C170" t="s">
        <v>22</v>
      </c>
      <c r="D170" t="s">
        <v>23</v>
      </c>
      <c r="E170" t="s">
        <v>24</v>
      </c>
      <c r="F170" s="71">
        <v>-12.27</v>
      </c>
      <c r="G170" s="71">
        <v>0</v>
      </c>
      <c r="H170" s="71">
        <v>-12.27</v>
      </c>
      <c r="I170" s="22"/>
      <c r="J170" s="22"/>
      <c r="K170" s="22"/>
      <c r="L170" s="22"/>
      <c r="M170" s="22"/>
      <c r="N170" s="22"/>
    </row>
    <row r="171" spans="1:14" ht="15.75" x14ac:dyDescent="0.25">
      <c r="A171" s="16">
        <v>43994</v>
      </c>
      <c r="B171" t="s">
        <v>21</v>
      </c>
      <c r="C171" t="s">
        <v>22</v>
      </c>
      <c r="D171" t="s">
        <v>25</v>
      </c>
      <c r="E171" t="s">
        <v>26</v>
      </c>
      <c r="F171" s="71">
        <v>430.36</v>
      </c>
      <c r="G171" s="71">
        <v>-64.55</v>
      </c>
      <c r="H171" s="71">
        <v>365.81</v>
      </c>
      <c r="I171" s="22"/>
      <c r="J171" s="22"/>
      <c r="K171" s="22"/>
      <c r="L171" s="22"/>
      <c r="M171" s="22"/>
      <c r="N171" s="22"/>
    </row>
    <row r="172" spans="1:14" ht="15.75" x14ac:dyDescent="0.25">
      <c r="A172" s="16">
        <v>43994</v>
      </c>
      <c r="B172" t="s">
        <v>21</v>
      </c>
      <c r="C172" t="s">
        <v>22</v>
      </c>
      <c r="D172" t="s">
        <v>27</v>
      </c>
      <c r="E172" t="s">
        <v>26</v>
      </c>
      <c r="F172" s="71">
        <v>168.77</v>
      </c>
      <c r="G172" s="71">
        <v>-25.32</v>
      </c>
      <c r="H172" s="71">
        <v>143.44999999999999</v>
      </c>
      <c r="I172" s="22"/>
      <c r="J172" s="22"/>
      <c r="K172" s="22"/>
      <c r="L172" s="22"/>
      <c r="M172" s="22"/>
      <c r="N172" s="22"/>
    </row>
    <row r="173" spans="1:14" ht="15.75" x14ac:dyDescent="0.25">
      <c r="A173" s="16">
        <v>44008</v>
      </c>
      <c r="B173" t="s">
        <v>21</v>
      </c>
      <c r="C173" t="s">
        <v>22</v>
      </c>
      <c r="D173" t="s">
        <v>25</v>
      </c>
      <c r="E173" t="s">
        <v>26</v>
      </c>
      <c r="F173" s="71">
        <v>430.36</v>
      </c>
      <c r="G173" s="71">
        <v>-64.55</v>
      </c>
      <c r="H173" s="71">
        <v>365.81</v>
      </c>
      <c r="I173" s="22"/>
      <c r="J173" s="22"/>
      <c r="K173" s="22"/>
      <c r="L173" s="22"/>
      <c r="M173" s="22"/>
      <c r="N173" s="22"/>
    </row>
    <row r="174" spans="1:14" ht="15.75" x14ac:dyDescent="0.25">
      <c r="A174" s="16">
        <v>44008</v>
      </c>
      <c r="B174" t="s">
        <v>21</v>
      </c>
      <c r="C174" t="s">
        <v>22</v>
      </c>
      <c r="D174" t="s">
        <v>27</v>
      </c>
      <c r="E174" t="s">
        <v>26</v>
      </c>
      <c r="F174" s="71">
        <v>168.77</v>
      </c>
      <c r="G174" s="71">
        <v>-25.32</v>
      </c>
      <c r="H174" s="71">
        <v>143.44999999999999</v>
      </c>
      <c r="I174" s="22"/>
      <c r="J174" s="22"/>
      <c r="K174" s="22"/>
      <c r="L174" s="22"/>
      <c r="M174" s="22"/>
      <c r="N174" s="22"/>
    </row>
    <row r="175" spans="1:14" ht="15.75" x14ac:dyDescent="0.25">
      <c r="A175" s="16">
        <v>44022</v>
      </c>
      <c r="B175" t="s">
        <v>21</v>
      </c>
      <c r="C175" t="s">
        <v>22</v>
      </c>
      <c r="D175" t="s">
        <v>25</v>
      </c>
      <c r="E175" t="s">
        <v>26</v>
      </c>
      <c r="F175" s="71">
        <v>376.57</v>
      </c>
      <c r="G175" s="71">
        <v>-56.49</v>
      </c>
      <c r="H175" s="71">
        <v>320.08</v>
      </c>
      <c r="I175" s="22"/>
      <c r="J175" s="22"/>
      <c r="K175" s="22"/>
      <c r="L175" s="22"/>
      <c r="M175" s="22"/>
      <c r="N175" s="22"/>
    </row>
    <row r="176" spans="1:14" ht="15.75" x14ac:dyDescent="0.25">
      <c r="A176" s="16">
        <v>44022</v>
      </c>
      <c r="B176" t="s">
        <v>21</v>
      </c>
      <c r="C176" t="s">
        <v>22</v>
      </c>
      <c r="D176" t="s">
        <v>27</v>
      </c>
      <c r="E176" t="s">
        <v>26</v>
      </c>
      <c r="F176" s="71">
        <v>147.66999999999999</v>
      </c>
      <c r="G176" s="71">
        <v>-22.15</v>
      </c>
      <c r="H176" s="71">
        <v>125.52</v>
      </c>
      <c r="I176" s="22"/>
      <c r="J176" s="22"/>
      <c r="K176" s="22"/>
      <c r="L176" s="22"/>
      <c r="M176" s="22"/>
      <c r="N176" s="22"/>
    </row>
    <row r="177" spans="1:14" ht="15.75" x14ac:dyDescent="0.25">
      <c r="A177" s="16">
        <v>44023</v>
      </c>
      <c r="B177" t="s">
        <v>21</v>
      </c>
      <c r="C177" t="s">
        <v>22</v>
      </c>
      <c r="D177" t="s">
        <v>23</v>
      </c>
      <c r="E177" t="s">
        <v>24</v>
      </c>
      <c r="F177" s="71">
        <v>-11.87</v>
      </c>
      <c r="G177" s="71">
        <v>0</v>
      </c>
      <c r="H177" s="71">
        <v>-11.87</v>
      </c>
      <c r="I177" s="22"/>
      <c r="J177" s="22"/>
      <c r="K177" s="22"/>
      <c r="L177" s="22"/>
      <c r="M177" s="22"/>
      <c r="N177" s="22"/>
    </row>
    <row r="178" spans="1:14" ht="15.75" x14ac:dyDescent="0.25">
      <c r="A178" s="16">
        <v>44036</v>
      </c>
      <c r="B178" t="s">
        <v>21</v>
      </c>
      <c r="C178" t="s">
        <v>22</v>
      </c>
      <c r="D178" t="s">
        <v>25</v>
      </c>
      <c r="E178" t="s">
        <v>26</v>
      </c>
      <c r="F178" s="71">
        <v>382.54</v>
      </c>
      <c r="G178" s="71">
        <v>-57.38</v>
      </c>
      <c r="H178" s="71">
        <v>325.16000000000003</v>
      </c>
      <c r="I178" s="22"/>
      <c r="J178" s="22"/>
      <c r="K178" s="22"/>
      <c r="L178" s="22"/>
      <c r="M178" s="22"/>
      <c r="N178" s="22"/>
    </row>
    <row r="179" spans="1:14" ht="15.75" x14ac:dyDescent="0.25">
      <c r="A179" s="16">
        <v>44036</v>
      </c>
      <c r="B179" t="s">
        <v>21</v>
      </c>
      <c r="C179" t="s">
        <v>22</v>
      </c>
      <c r="D179" t="s">
        <v>27</v>
      </c>
      <c r="E179" t="s">
        <v>26</v>
      </c>
      <c r="F179" s="71">
        <v>150.02000000000001</v>
      </c>
      <c r="G179" s="71">
        <v>-22.5</v>
      </c>
      <c r="H179" s="71">
        <v>127.52</v>
      </c>
      <c r="I179" s="22"/>
      <c r="J179" s="22"/>
      <c r="K179" s="22"/>
      <c r="L179" s="22"/>
      <c r="M179" s="22"/>
      <c r="N179" s="22"/>
    </row>
    <row r="180" spans="1:14" ht="15.75" x14ac:dyDescent="0.25">
      <c r="A180" s="16">
        <v>44050</v>
      </c>
      <c r="B180" t="s">
        <v>21</v>
      </c>
      <c r="C180" t="s">
        <v>22</v>
      </c>
      <c r="D180" t="s">
        <v>25</v>
      </c>
      <c r="E180" t="s">
        <v>26</v>
      </c>
      <c r="F180" s="71">
        <v>382.54</v>
      </c>
      <c r="G180" s="71">
        <v>-57.38</v>
      </c>
      <c r="H180" s="71">
        <v>325.16000000000003</v>
      </c>
      <c r="I180" s="22"/>
      <c r="J180" s="22"/>
      <c r="K180" s="22"/>
      <c r="L180" s="22"/>
      <c r="M180" s="22"/>
      <c r="N180" s="22"/>
    </row>
    <row r="181" spans="1:14" ht="15.75" x14ac:dyDescent="0.25">
      <c r="A181" s="16">
        <v>44050</v>
      </c>
      <c r="B181" t="s">
        <v>21</v>
      </c>
      <c r="C181" t="s">
        <v>22</v>
      </c>
      <c r="D181" t="s">
        <v>27</v>
      </c>
      <c r="E181" t="s">
        <v>26</v>
      </c>
      <c r="F181" s="71">
        <v>150.02000000000001</v>
      </c>
      <c r="G181" s="71">
        <v>-22.5</v>
      </c>
      <c r="H181" s="71">
        <v>127.52</v>
      </c>
      <c r="I181" s="22"/>
      <c r="J181" s="22"/>
      <c r="K181" s="22"/>
      <c r="L181" s="22"/>
      <c r="M181" s="22"/>
      <c r="N181" s="22"/>
    </row>
    <row r="182" spans="1:14" ht="15.75" x14ac:dyDescent="0.25">
      <c r="A182" s="16">
        <v>44051</v>
      </c>
      <c r="B182" t="s">
        <v>21</v>
      </c>
      <c r="C182" t="s">
        <v>22</v>
      </c>
      <c r="D182" t="s">
        <v>23</v>
      </c>
      <c r="E182" t="s">
        <v>24</v>
      </c>
      <c r="F182" s="71">
        <v>-13.1</v>
      </c>
      <c r="G182" s="71">
        <v>0</v>
      </c>
      <c r="H182" s="71">
        <v>-13.1</v>
      </c>
      <c r="I182" s="22"/>
      <c r="J182" s="22"/>
      <c r="K182" s="22"/>
      <c r="L182" s="22"/>
      <c r="M182" s="22"/>
      <c r="N182" s="22"/>
    </row>
    <row r="183" spans="1:14" ht="15.75" x14ac:dyDescent="0.25">
      <c r="A183" s="16">
        <v>44064</v>
      </c>
      <c r="B183" t="s">
        <v>21</v>
      </c>
      <c r="C183" t="s">
        <v>22</v>
      </c>
      <c r="D183" t="s">
        <v>25</v>
      </c>
      <c r="E183" t="s">
        <v>26</v>
      </c>
      <c r="F183" s="71">
        <v>382.54</v>
      </c>
      <c r="G183" s="71">
        <v>-57.38</v>
      </c>
      <c r="H183" s="71">
        <v>325.16000000000003</v>
      </c>
      <c r="I183" s="22"/>
      <c r="J183" s="22"/>
      <c r="K183" s="22"/>
      <c r="L183" s="22"/>
      <c r="M183" s="22"/>
      <c r="N183" s="22"/>
    </row>
    <row r="184" spans="1:14" ht="15.75" x14ac:dyDescent="0.25">
      <c r="A184" s="16">
        <v>44064</v>
      </c>
      <c r="B184" t="s">
        <v>21</v>
      </c>
      <c r="C184" t="s">
        <v>22</v>
      </c>
      <c r="D184" t="s">
        <v>27</v>
      </c>
      <c r="E184" t="s">
        <v>26</v>
      </c>
      <c r="F184" s="71">
        <v>150.02000000000001</v>
      </c>
      <c r="G184" s="71">
        <v>-22.5</v>
      </c>
      <c r="H184" s="71">
        <v>127.52</v>
      </c>
      <c r="I184" s="22"/>
      <c r="J184" s="22"/>
      <c r="K184" s="22"/>
      <c r="L184" s="22"/>
      <c r="M184" s="22"/>
      <c r="N184" s="22"/>
    </row>
    <row r="185" spans="1:14" ht="15.75" x14ac:dyDescent="0.25">
      <c r="A185" s="16">
        <v>44078</v>
      </c>
      <c r="B185" t="s">
        <v>21</v>
      </c>
      <c r="C185" t="s">
        <v>22</v>
      </c>
      <c r="D185" t="s">
        <v>25</v>
      </c>
      <c r="E185" t="s">
        <v>26</v>
      </c>
      <c r="F185" s="71">
        <v>382.54</v>
      </c>
      <c r="G185" s="71">
        <v>-57.38</v>
      </c>
      <c r="H185" s="71">
        <v>325.16000000000003</v>
      </c>
      <c r="I185" s="22"/>
      <c r="J185" s="22"/>
      <c r="K185" s="22"/>
      <c r="L185" s="22"/>
      <c r="M185" s="22"/>
      <c r="N185" s="22"/>
    </row>
    <row r="186" spans="1:14" ht="15.75" x14ac:dyDescent="0.25">
      <c r="A186" s="16">
        <v>44078</v>
      </c>
      <c r="B186" t="s">
        <v>21</v>
      </c>
      <c r="C186" t="s">
        <v>22</v>
      </c>
      <c r="D186" t="s">
        <v>27</v>
      </c>
      <c r="E186" t="s">
        <v>26</v>
      </c>
      <c r="F186" s="71">
        <v>150.02000000000001</v>
      </c>
      <c r="G186" s="71">
        <v>-22.5</v>
      </c>
      <c r="H186" s="71">
        <v>127.52</v>
      </c>
      <c r="I186" s="22"/>
      <c r="J186" s="22"/>
      <c r="K186" s="22"/>
      <c r="L186" s="22"/>
      <c r="M186" s="22"/>
      <c r="N186" s="22"/>
    </row>
    <row r="187" spans="1:14" ht="15.75" x14ac:dyDescent="0.25">
      <c r="A187" s="16">
        <v>44086</v>
      </c>
      <c r="B187" t="s">
        <v>21</v>
      </c>
      <c r="C187" t="s">
        <v>22</v>
      </c>
      <c r="D187" t="s">
        <v>23</v>
      </c>
      <c r="E187" t="s">
        <v>24</v>
      </c>
      <c r="F187" s="71">
        <v>-13.23</v>
      </c>
      <c r="G187" s="71">
        <v>0</v>
      </c>
      <c r="H187" s="71">
        <v>-13.23</v>
      </c>
      <c r="I187" s="22"/>
      <c r="J187" s="22"/>
      <c r="K187" s="22"/>
      <c r="L187" s="22"/>
      <c r="M187" s="22"/>
      <c r="N187" s="22"/>
    </row>
    <row r="188" spans="1:14" ht="15.75" x14ac:dyDescent="0.25">
      <c r="A188" s="16">
        <v>44092</v>
      </c>
      <c r="B188" t="s">
        <v>21</v>
      </c>
      <c r="C188" t="s">
        <v>22</v>
      </c>
      <c r="D188" t="s">
        <v>25</v>
      </c>
      <c r="E188" t="s">
        <v>26</v>
      </c>
      <c r="F188" s="71">
        <v>382.54</v>
      </c>
      <c r="G188" s="71">
        <v>-57.38</v>
      </c>
      <c r="H188" s="71">
        <v>325.16000000000003</v>
      </c>
      <c r="I188" s="22"/>
      <c r="J188" s="22"/>
      <c r="K188" s="22"/>
      <c r="L188" s="22"/>
      <c r="M188" s="22"/>
      <c r="N188" s="22"/>
    </row>
    <row r="189" spans="1:14" ht="15.75" x14ac:dyDescent="0.25">
      <c r="A189" s="16">
        <v>44092</v>
      </c>
      <c r="B189" t="s">
        <v>21</v>
      </c>
      <c r="C189" t="s">
        <v>22</v>
      </c>
      <c r="D189" t="s">
        <v>27</v>
      </c>
      <c r="E189" t="s">
        <v>26</v>
      </c>
      <c r="F189" s="71">
        <v>150.02000000000001</v>
      </c>
      <c r="G189" s="71">
        <v>-22.5</v>
      </c>
      <c r="H189" s="71">
        <v>127.52</v>
      </c>
      <c r="I189" s="22"/>
      <c r="J189" s="22"/>
      <c r="K189" s="22"/>
      <c r="L189" s="22"/>
      <c r="M189" s="22"/>
      <c r="N189" s="22"/>
    </row>
    <row r="190" spans="1:14" ht="15.75" x14ac:dyDescent="0.25">
      <c r="A190" s="16">
        <v>44106</v>
      </c>
      <c r="B190" t="s">
        <v>21</v>
      </c>
      <c r="C190" t="s">
        <v>22</v>
      </c>
      <c r="D190" t="s">
        <v>25</v>
      </c>
      <c r="E190" t="s">
        <v>26</v>
      </c>
      <c r="F190" s="71">
        <v>382.54</v>
      </c>
      <c r="G190" s="71">
        <v>-57.38</v>
      </c>
      <c r="H190" s="71">
        <v>325.16000000000003</v>
      </c>
      <c r="I190" s="22"/>
      <c r="J190" s="22"/>
      <c r="K190" s="22"/>
      <c r="L190" s="22"/>
      <c r="M190" s="22"/>
      <c r="N190" s="22"/>
    </row>
    <row r="191" spans="1:14" ht="15.75" x14ac:dyDescent="0.25">
      <c r="A191" s="16">
        <v>44106</v>
      </c>
      <c r="B191" t="s">
        <v>21</v>
      </c>
      <c r="C191" t="s">
        <v>22</v>
      </c>
      <c r="D191" t="s">
        <v>27</v>
      </c>
      <c r="E191" t="s">
        <v>26</v>
      </c>
      <c r="F191" s="71">
        <v>150.02000000000001</v>
      </c>
      <c r="G191" s="71">
        <v>-22.5</v>
      </c>
      <c r="H191" s="71">
        <v>127.52</v>
      </c>
      <c r="I191" s="22"/>
      <c r="J191" s="22"/>
      <c r="K191" s="22"/>
      <c r="L191" s="22"/>
      <c r="M191" s="22"/>
      <c r="N191" s="22"/>
    </row>
    <row r="192" spans="1:14" ht="15.75" x14ac:dyDescent="0.25">
      <c r="A192" s="16">
        <v>44120</v>
      </c>
      <c r="B192" t="s">
        <v>21</v>
      </c>
      <c r="C192" t="s">
        <v>22</v>
      </c>
      <c r="D192" t="s">
        <v>25</v>
      </c>
      <c r="E192" t="s">
        <v>26</v>
      </c>
      <c r="F192" s="71">
        <v>382.54</v>
      </c>
      <c r="G192" s="71">
        <v>-57.38</v>
      </c>
      <c r="H192" s="71">
        <v>325.16000000000003</v>
      </c>
      <c r="I192" s="22"/>
      <c r="J192" s="22"/>
      <c r="K192" s="22"/>
      <c r="L192" s="22"/>
      <c r="M192" s="22"/>
      <c r="N192" s="22"/>
    </row>
    <row r="193" spans="1:14" ht="15.75" x14ac:dyDescent="0.25">
      <c r="A193" s="16">
        <v>44120</v>
      </c>
      <c r="B193" t="s">
        <v>21</v>
      </c>
      <c r="C193" t="s">
        <v>22</v>
      </c>
      <c r="D193" t="s">
        <v>27</v>
      </c>
      <c r="E193" t="s">
        <v>26</v>
      </c>
      <c r="F193" s="71">
        <v>150.02000000000001</v>
      </c>
      <c r="G193" s="71">
        <v>-22.5</v>
      </c>
      <c r="H193" s="71">
        <v>127.52</v>
      </c>
      <c r="I193" s="22"/>
      <c r="J193" s="22"/>
      <c r="K193" s="22"/>
      <c r="L193" s="22"/>
      <c r="M193" s="22"/>
      <c r="N193" s="22"/>
    </row>
    <row r="194" spans="1:14" ht="15.75" x14ac:dyDescent="0.25">
      <c r="A194" s="16">
        <v>44121</v>
      </c>
      <c r="B194" t="s">
        <v>21</v>
      </c>
      <c r="C194" t="s">
        <v>22</v>
      </c>
      <c r="D194" t="s">
        <v>23</v>
      </c>
      <c r="E194" t="s">
        <v>24</v>
      </c>
      <c r="F194" s="71">
        <v>-12.81</v>
      </c>
      <c r="G194" s="71">
        <v>0</v>
      </c>
      <c r="H194" s="71">
        <v>-12.81</v>
      </c>
      <c r="I194" s="22"/>
      <c r="J194" s="22"/>
      <c r="K194" s="22"/>
      <c r="L194" s="22"/>
      <c r="M194" s="22"/>
      <c r="N194" s="22"/>
    </row>
    <row r="195" spans="1:14" ht="15.75" x14ac:dyDescent="0.25">
      <c r="A195" s="16">
        <v>44134</v>
      </c>
      <c r="B195" t="s">
        <v>21</v>
      </c>
      <c r="C195" t="s">
        <v>22</v>
      </c>
      <c r="D195" t="s">
        <v>25</v>
      </c>
      <c r="E195" t="s">
        <v>26</v>
      </c>
      <c r="F195" s="71">
        <v>430.36</v>
      </c>
      <c r="G195" s="71">
        <v>-64.55</v>
      </c>
      <c r="H195" s="71">
        <v>365.81</v>
      </c>
      <c r="I195" s="22"/>
      <c r="J195" s="22"/>
      <c r="K195" s="22"/>
      <c r="L195" s="22"/>
      <c r="M195" s="22"/>
      <c r="N195" s="22"/>
    </row>
    <row r="196" spans="1:14" ht="15.75" x14ac:dyDescent="0.25">
      <c r="A196" s="16">
        <v>44134</v>
      </c>
      <c r="B196" t="s">
        <v>21</v>
      </c>
      <c r="C196" t="s">
        <v>22</v>
      </c>
      <c r="D196" t="s">
        <v>27</v>
      </c>
      <c r="E196" t="s">
        <v>26</v>
      </c>
      <c r="F196" s="71">
        <v>168.77</v>
      </c>
      <c r="G196" s="71">
        <v>-25.32</v>
      </c>
      <c r="H196" s="71">
        <v>143.44999999999999</v>
      </c>
      <c r="I196" s="22"/>
      <c r="J196" s="22"/>
      <c r="K196" s="22"/>
      <c r="L196" s="22"/>
      <c r="M196" s="22"/>
      <c r="N196" s="22"/>
    </row>
    <row r="197" spans="1:14" ht="15.75" x14ac:dyDescent="0.25">
      <c r="A197" s="16">
        <v>44142</v>
      </c>
      <c r="B197" t="s">
        <v>21</v>
      </c>
      <c r="C197" t="s">
        <v>22</v>
      </c>
      <c r="D197" t="s">
        <v>23</v>
      </c>
      <c r="E197" t="s">
        <v>24</v>
      </c>
      <c r="F197" s="71">
        <v>-13.22</v>
      </c>
      <c r="G197" s="71">
        <v>0</v>
      </c>
      <c r="H197" s="71">
        <v>-13.22</v>
      </c>
      <c r="I197" s="22"/>
      <c r="J197" s="22"/>
      <c r="K197" s="22"/>
      <c r="L197" s="22"/>
      <c r="M197" s="22"/>
      <c r="N197" s="22"/>
    </row>
    <row r="198" spans="1:14" ht="15.75" x14ac:dyDescent="0.25">
      <c r="A198" s="16">
        <v>44148</v>
      </c>
      <c r="B198" t="s">
        <v>21</v>
      </c>
      <c r="C198" t="s">
        <v>22</v>
      </c>
      <c r="D198" t="s">
        <v>25</v>
      </c>
      <c r="E198" t="s">
        <v>26</v>
      </c>
      <c r="F198" s="71">
        <v>406.45</v>
      </c>
      <c r="G198" s="71">
        <v>-60.97</v>
      </c>
      <c r="H198" s="71">
        <v>345.48</v>
      </c>
      <c r="I198" s="22"/>
      <c r="J198" s="22"/>
      <c r="K198" s="22"/>
      <c r="L198" s="22"/>
      <c r="M198" s="22"/>
      <c r="N198" s="22"/>
    </row>
    <row r="199" spans="1:14" ht="15.75" x14ac:dyDescent="0.25">
      <c r="A199" s="16">
        <v>44148</v>
      </c>
      <c r="B199" t="s">
        <v>21</v>
      </c>
      <c r="C199" t="s">
        <v>22</v>
      </c>
      <c r="D199" t="s">
        <v>27</v>
      </c>
      <c r="E199" t="s">
        <v>26</v>
      </c>
      <c r="F199" s="71">
        <v>159.38999999999999</v>
      </c>
      <c r="G199" s="71">
        <v>-23.91</v>
      </c>
      <c r="H199" s="71">
        <v>135.47999999999999</v>
      </c>
      <c r="I199" s="22"/>
      <c r="J199" s="22"/>
      <c r="K199" s="22"/>
      <c r="L199" s="22"/>
      <c r="M199" s="22"/>
      <c r="N199" s="22"/>
    </row>
    <row r="200" spans="1:14" ht="15.75" x14ac:dyDescent="0.25">
      <c r="A200" s="16">
        <v>44165</v>
      </c>
      <c r="B200" t="s">
        <v>21</v>
      </c>
      <c r="C200" t="s">
        <v>22</v>
      </c>
      <c r="D200" t="s">
        <v>25</v>
      </c>
      <c r="E200" t="s">
        <v>26</v>
      </c>
      <c r="F200" s="71">
        <v>382.54</v>
      </c>
      <c r="G200" s="71">
        <v>-57.38</v>
      </c>
      <c r="H200" s="71">
        <v>325.16000000000003</v>
      </c>
      <c r="I200" s="22"/>
      <c r="J200" s="22"/>
      <c r="K200" s="22"/>
      <c r="L200" s="22"/>
      <c r="M200" s="22"/>
      <c r="N200" s="22"/>
    </row>
    <row r="201" spans="1:14" ht="15.75" x14ac:dyDescent="0.25">
      <c r="A201" s="16">
        <v>44165</v>
      </c>
      <c r="B201" t="s">
        <v>21</v>
      </c>
      <c r="C201" t="s">
        <v>22</v>
      </c>
      <c r="D201" t="s">
        <v>27</v>
      </c>
      <c r="E201" t="s">
        <v>26</v>
      </c>
      <c r="F201" s="71">
        <v>150.02000000000001</v>
      </c>
      <c r="G201" s="71">
        <v>-22.5</v>
      </c>
      <c r="H201" s="71">
        <v>127.52</v>
      </c>
      <c r="I201" s="22"/>
      <c r="J201" s="22"/>
      <c r="K201" s="22"/>
      <c r="L201" s="22"/>
      <c r="M201" s="22"/>
      <c r="N201" s="22"/>
    </row>
    <row r="202" spans="1:14" ht="15.75" x14ac:dyDescent="0.25">
      <c r="A202" s="16">
        <v>44170</v>
      </c>
      <c r="B202" t="s">
        <v>21</v>
      </c>
      <c r="C202" t="s">
        <v>22</v>
      </c>
      <c r="D202" t="s">
        <v>23</v>
      </c>
      <c r="E202" t="s">
        <v>24</v>
      </c>
      <c r="F202" s="71">
        <v>-12.81</v>
      </c>
      <c r="G202" s="71">
        <v>0</v>
      </c>
      <c r="H202" s="71">
        <v>-12.81</v>
      </c>
      <c r="I202" s="22"/>
      <c r="J202" s="22"/>
      <c r="K202" s="22"/>
      <c r="L202" s="22"/>
      <c r="M202" s="22"/>
      <c r="N202" s="22"/>
    </row>
    <row r="203" spans="1:14" ht="15.75" x14ac:dyDescent="0.25">
      <c r="A203" s="16">
        <v>44176</v>
      </c>
      <c r="B203" t="s">
        <v>21</v>
      </c>
      <c r="C203" t="s">
        <v>22</v>
      </c>
      <c r="D203" t="s">
        <v>25</v>
      </c>
      <c r="E203" t="s">
        <v>26</v>
      </c>
      <c r="F203" s="71">
        <v>382.54</v>
      </c>
      <c r="G203" s="71">
        <v>-57.38</v>
      </c>
      <c r="H203" s="71">
        <v>325.16000000000003</v>
      </c>
      <c r="I203" s="22"/>
      <c r="J203" s="22"/>
      <c r="K203" s="22"/>
      <c r="L203" s="22"/>
      <c r="M203" s="22"/>
      <c r="N203" s="22"/>
    </row>
    <row r="204" spans="1:14" ht="15.75" x14ac:dyDescent="0.25">
      <c r="A204" s="16">
        <v>44176</v>
      </c>
      <c r="B204" t="s">
        <v>21</v>
      </c>
      <c r="C204" t="s">
        <v>22</v>
      </c>
      <c r="D204" t="s">
        <v>27</v>
      </c>
      <c r="E204" t="s">
        <v>26</v>
      </c>
      <c r="F204" s="71">
        <v>150.02000000000001</v>
      </c>
      <c r="G204" s="71">
        <v>-22.5</v>
      </c>
      <c r="H204" s="71">
        <v>127.52</v>
      </c>
      <c r="I204" s="22"/>
      <c r="J204" s="22"/>
      <c r="K204" s="22"/>
      <c r="L204" s="22"/>
      <c r="M204" s="22"/>
      <c r="N204" s="22"/>
    </row>
    <row r="205" spans="1:14" ht="15.75" x14ac:dyDescent="0.25">
      <c r="A205" s="16">
        <v>44194</v>
      </c>
      <c r="B205" t="s">
        <v>21</v>
      </c>
      <c r="C205" t="s">
        <v>22</v>
      </c>
      <c r="D205" t="s">
        <v>25</v>
      </c>
      <c r="E205" t="s">
        <v>26</v>
      </c>
      <c r="F205" s="71">
        <v>382.54</v>
      </c>
      <c r="G205" s="71">
        <v>-57.38</v>
      </c>
      <c r="H205" s="71">
        <v>325.16000000000003</v>
      </c>
      <c r="I205" s="22"/>
      <c r="J205" s="22"/>
      <c r="K205" s="22"/>
      <c r="L205" s="22"/>
      <c r="M205" s="22"/>
      <c r="N205" s="22"/>
    </row>
    <row r="206" spans="1:14" ht="15.75" x14ac:dyDescent="0.25">
      <c r="A206" s="16">
        <v>44194</v>
      </c>
      <c r="B206" t="s">
        <v>21</v>
      </c>
      <c r="C206" t="s">
        <v>22</v>
      </c>
      <c r="D206" t="s">
        <v>27</v>
      </c>
      <c r="E206" t="s">
        <v>26</v>
      </c>
      <c r="F206" s="71">
        <v>150.02000000000001</v>
      </c>
      <c r="G206" s="71">
        <v>-22.5</v>
      </c>
      <c r="H206" s="71">
        <v>127.52</v>
      </c>
      <c r="I206" s="22"/>
      <c r="J206" s="22"/>
      <c r="K206" s="22"/>
      <c r="L206" s="22"/>
      <c r="M206" s="22"/>
      <c r="N206" s="22"/>
    </row>
    <row r="207" spans="1:14" ht="15.75" x14ac:dyDescent="0.25">
      <c r="A207" s="16">
        <v>44204</v>
      </c>
      <c r="B207" t="s">
        <v>21</v>
      </c>
      <c r="C207" t="s">
        <v>22</v>
      </c>
      <c r="D207" t="s">
        <v>25</v>
      </c>
      <c r="E207" t="s">
        <v>26</v>
      </c>
      <c r="F207" s="71">
        <v>382.54</v>
      </c>
      <c r="G207" s="71">
        <v>-57.38</v>
      </c>
      <c r="H207" s="71">
        <v>325.16000000000003</v>
      </c>
      <c r="I207" s="22"/>
      <c r="J207" s="22"/>
      <c r="K207" s="22"/>
      <c r="L207" s="22"/>
      <c r="M207" s="22"/>
      <c r="N207" s="22"/>
    </row>
    <row r="208" spans="1:14" ht="15.75" x14ac:dyDescent="0.25">
      <c r="A208" s="16">
        <v>44204</v>
      </c>
      <c r="B208" t="s">
        <v>21</v>
      </c>
      <c r="C208" t="s">
        <v>22</v>
      </c>
      <c r="D208" t="s">
        <v>27</v>
      </c>
      <c r="E208" t="s">
        <v>26</v>
      </c>
      <c r="F208" s="71">
        <v>150.02000000000001</v>
      </c>
      <c r="G208" s="71">
        <v>-22.5</v>
      </c>
      <c r="H208" s="71">
        <v>127.52</v>
      </c>
      <c r="I208" s="22"/>
      <c r="J208" s="22"/>
      <c r="K208" s="22"/>
      <c r="L208" s="22"/>
      <c r="M208" s="22"/>
      <c r="N208" s="22"/>
    </row>
    <row r="209" spans="1:14" ht="15.75" x14ac:dyDescent="0.25">
      <c r="A209" s="16">
        <v>44205</v>
      </c>
      <c r="B209" t="s">
        <v>21</v>
      </c>
      <c r="C209" t="s">
        <v>22</v>
      </c>
      <c r="D209" t="s">
        <v>23</v>
      </c>
      <c r="E209" t="s">
        <v>24</v>
      </c>
      <c r="F209" s="71">
        <v>-13.23</v>
      </c>
      <c r="G209" s="71">
        <v>0</v>
      </c>
      <c r="H209" s="71">
        <v>-13.23</v>
      </c>
      <c r="I209" s="22"/>
      <c r="J209" s="22"/>
      <c r="K209" s="22"/>
      <c r="L209" s="22"/>
      <c r="M209" s="22"/>
      <c r="N209" s="22"/>
    </row>
    <row r="210" spans="1:14" ht="15.75" x14ac:dyDescent="0.25">
      <c r="A210" s="16">
        <v>44218</v>
      </c>
      <c r="B210" t="s">
        <v>21</v>
      </c>
      <c r="C210" t="s">
        <v>22</v>
      </c>
      <c r="D210" t="s">
        <v>25</v>
      </c>
      <c r="E210" t="s">
        <v>26</v>
      </c>
      <c r="F210" s="71">
        <v>382.54</v>
      </c>
      <c r="G210" s="71">
        <v>-57.38</v>
      </c>
      <c r="H210" s="71">
        <v>325.16000000000003</v>
      </c>
      <c r="I210" s="22"/>
      <c r="J210" s="22"/>
      <c r="K210" s="22"/>
      <c r="L210" s="22"/>
      <c r="M210" s="22"/>
      <c r="N210" s="22"/>
    </row>
    <row r="211" spans="1:14" ht="15.75" x14ac:dyDescent="0.25">
      <c r="A211" s="16">
        <v>44218</v>
      </c>
      <c r="B211" t="s">
        <v>21</v>
      </c>
      <c r="C211" t="s">
        <v>22</v>
      </c>
      <c r="D211" t="s">
        <v>27</v>
      </c>
      <c r="E211" t="s">
        <v>26</v>
      </c>
      <c r="F211" s="71">
        <v>150.02000000000001</v>
      </c>
      <c r="G211" s="71">
        <v>-22.5</v>
      </c>
      <c r="H211" s="71">
        <v>127.52</v>
      </c>
      <c r="I211" s="22"/>
      <c r="J211" s="22"/>
      <c r="K211" s="22"/>
      <c r="L211" s="22"/>
      <c r="M211" s="22"/>
      <c r="N211" s="22"/>
    </row>
    <row r="212" spans="1:14" ht="15.75" x14ac:dyDescent="0.25">
      <c r="A212" s="16">
        <v>44232</v>
      </c>
      <c r="B212" t="s">
        <v>21</v>
      </c>
      <c r="C212" t="s">
        <v>22</v>
      </c>
      <c r="D212" t="s">
        <v>25</v>
      </c>
      <c r="E212" t="s">
        <v>26</v>
      </c>
      <c r="F212" s="71">
        <v>433.35</v>
      </c>
      <c r="G212" s="71">
        <v>-65</v>
      </c>
      <c r="H212" s="71">
        <v>368.35</v>
      </c>
      <c r="I212" s="22"/>
      <c r="J212" s="22"/>
      <c r="K212" s="22"/>
      <c r="L212" s="22"/>
      <c r="M212" s="22"/>
      <c r="N212" s="22"/>
    </row>
    <row r="213" spans="1:14" ht="15.75" x14ac:dyDescent="0.25">
      <c r="A213" s="16">
        <v>44232</v>
      </c>
      <c r="B213" t="s">
        <v>21</v>
      </c>
      <c r="C213" t="s">
        <v>22</v>
      </c>
      <c r="D213" t="s">
        <v>27</v>
      </c>
      <c r="E213" t="s">
        <v>26</v>
      </c>
      <c r="F213" s="71">
        <v>169.94</v>
      </c>
      <c r="G213" s="71">
        <v>-25.49</v>
      </c>
      <c r="H213" s="71">
        <v>144.44999999999999</v>
      </c>
      <c r="I213" s="22"/>
      <c r="J213" s="22"/>
      <c r="K213" s="22"/>
      <c r="L213" s="22"/>
      <c r="M213" s="22"/>
      <c r="N213" s="22"/>
    </row>
    <row r="214" spans="1:14" ht="15.75" x14ac:dyDescent="0.25">
      <c r="A214" s="16">
        <v>44240</v>
      </c>
      <c r="B214" t="s">
        <v>21</v>
      </c>
      <c r="C214" t="s">
        <v>22</v>
      </c>
      <c r="D214" t="s">
        <v>23</v>
      </c>
      <c r="E214" t="s">
        <v>24</v>
      </c>
      <c r="F214" s="71">
        <v>-19.03</v>
      </c>
      <c r="G214" s="71">
        <v>0</v>
      </c>
      <c r="H214" s="71">
        <v>-19.03</v>
      </c>
      <c r="I214" s="22"/>
      <c r="J214" s="22"/>
      <c r="K214" s="22"/>
      <c r="L214" s="22"/>
      <c r="M214" s="22"/>
      <c r="N214" s="22"/>
    </row>
    <row r="215" spans="1:14" ht="15.75" x14ac:dyDescent="0.25">
      <c r="A215" s="16">
        <v>44246</v>
      </c>
      <c r="B215" t="s">
        <v>21</v>
      </c>
      <c r="C215" t="s">
        <v>22</v>
      </c>
      <c r="D215" t="s">
        <v>25</v>
      </c>
      <c r="E215" t="s">
        <v>26</v>
      </c>
      <c r="F215" s="71">
        <v>364.61</v>
      </c>
      <c r="G215" s="71">
        <v>-54.69</v>
      </c>
      <c r="H215" s="71">
        <v>309.92</v>
      </c>
      <c r="I215" s="22"/>
      <c r="J215" s="22"/>
      <c r="K215" s="22"/>
      <c r="L215" s="22"/>
      <c r="M215" s="22"/>
      <c r="N215" s="22"/>
    </row>
    <row r="216" spans="1:14" ht="15.75" x14ac:dyDescent="0.25">
      <c r="A216" s="16">
        <v>44246</v>
      </c>
      <c r="B216" t="s">
        <v>21</v>
      </c>
      <c r="C216" t="s">
        <v>22</v>
      </c>
      <c r="D216" t="s">
        <v>27</v>
      </c>
      <c r="E216" t="s">
        <v>26</v>
      </c>
      <c r="F216" s="71">
        <v>142.97999999999999</v>
      </c>
      <c r="G216" s="71">
        <v>-21.45</v>
      </c>
      <c r="H216" s="71">
        <v>121.53</v>
      </c>
      <c r="I216" s="22"/>
      <c r="J216" s="22"/>
      <c r="K216" s="22"/>
      <c r="L216" s="22"/>
      <c r="M216" s="22"/>
      <c r="N216" s="22"/>
    </row>
    <row r="217" spans="1:14" ht="15.75" x14ac:dyDescent="0.25">
      <c r="A217" s="14">
        <v>44260</v>
      </c>
      <c r="B217" s="26" t="s">
        <v>21</v>
      </c>
      <c r="C217" t="s">
        <v>22</v>
      </c>
      <c r="D217" t="s">
        <v>25</v>
      </c>
      <c r="E217" s="26" t="s">
        <v>26</v>
      </c>
      <c r="F217" s="71">
        <v>382.54</v>
      </c>
      <c r="G217" s="26">
        <v>-57.38</v>
      </c>
      <c r="H217" s="71">
        <v>325.16000000000003</v>
      </c>
      <c r="I217" s="22"/>
      <c r="J217" s="22"/>
      <c r="K217" s="22"/>
      <c r="L217" s="22"/>
      <c r="M217" s="22"/>
      <c r="N217" s="22"/>
    </row>
    <row r="218" spans="1:14" ht="15.75" x14ac:dyDescent="0.25">
      <c r="A218" s="14">
        <v>44260</v>
      </c>
      <c r="B218" s="26" t="s">
        <v>21</v>
      </c>
      <c r="C218" t="s">
        <v>22</v>
      </c>
      <c r="D218" t="s">
        <v>27</v>
      </c>
      <c r="E218" s="26" t="s">
        <v>26</v>
      </c>
      <c r="F218" s="71">
        <v>150.02000000000001</v>
      </c>
      <c r="G218" s="26">
        <v>-22.5</v>
      </c>
      <c r="H218" s="71">
        <v>127.52</v>
      </c>
      <c r="I218" s="22"/>
      <c r="J218" s="22"/>
      <c r="K218" s="22"/>
      <c r="L218" s="22"/>
      <c r="M218" s="22"/>
      <c r="N218" s="22"/>
    </row>
    <row r="219" spans="1:14" ht="15.75" x14ac:dyDescent="0.25">
      <c r="A219" s="14">
        <v>44268</v>
      </c>
      <c r="B219" s="26" t="s">
        <v>21</v>
      </c>
      <c r="C219" t="s">
        <v>22</v>
      </c>
      <c r="D219" t="s">
        <v>23</v>
      </c>
      <c r="E219" s="26" t="s">
        <v>24</v>
      </c>
      <c r="F219" s="71">
        <v>-17.2</v>
      </c>
      <c r="G219" s="26">
        <v>0</v>
      </c>
      <c r="H219" s="71">
        <v>-17.2</v>
      </c>
      <c r="I219" s="22"/>
      <c r="J219" s="22"/>
      <c r="K219" s="22"/>
      <c r="L219" s="22"/>
      <c r="M219" s="22"/>
      <c r="N219" s="22"/>
    </row>
    <row r="220" spans="1:14" ht="15.75" x14ac:dyDescent="0.25">
      <c r="A220" s="14">
        <v>44274</v>
      </c>
      <c r="B220" s="26" t="s">
        <v>21</v>
      </c>
      <c r="C220" t="s">
        <v>22</v>
      </c>
      <c r="D220" t="s">
        <v>25</v>
      </c>
      <c r="E220" s="26" t="s">
        <v>26</v>
      </c>
      <c r="F220" s="71">
        <v>382.54</v>
      </c>
      <c r="G220" s="26">
        <v>-57.38</v>
      </c>
      <c r="H220" s="71">
        <v>325.16000000000003</v>
      </c>
      <c r="I220" s="22"/>
      <c r="J220" s="22"/>
      <c r="K220" s="22"/>
      <c r="L220" s="22"/>
      <c r="M220" s="22"/>
      <c r="N220" s="22"/>
    </row>
    <row r="221" spans="1:14" ht="15.75" x14ac:dyDescent="0.25">
      <c r="A221" s="14">
        <v>44274</v>
      </c>
      <c r="B221" s="26" t="s">
        <v>21</v>
      </c>
      <c r="C221" t="s">
        <v>22</v>
      </c>
      <c r="D221" t="s">
        <v>27</v>
      </c>
      <c r="E221" s="26" t="s">
        <v>26</v>
      </c>
      <c r="F221" s="71">
        <v>150.02000000000001</v>
      </c>
      <c r="G221" s="26">
        <v>-22.5</v>
      </c>
      <c r="H221" s="71">
        <v>127.52</v>
      </c>
      <c r="I221" s="22"/>
      <c r="J221" s="22"/>
      <c r="K221" s="22"/>
      <c r="L221" s="22"/>
      <c r="M221" s="22"/>
      <c r="N221" s="22"/>
    </row>
    <row r="222" spans="1:14" ht="15.75" x14ac:dyDescent="0.25">
      <c r="A222" s="14">
        <v>44292</v>
      </c>
      <c r="B222" s="26" t="s">
        <v>21</v>
      </c>
      <c r="C222" t="s">
        <v>22</v>
      </c>
      <c r="D222" t="s">
        <v>25</v>
      </c>
      <c r="E222" s="26" t="s">
        <v>26</v>
      </c>
      <c r="F222" s="71">
        <v>382.54</v>
      </c>
      <c r="G222" s="26">
        <v>-57.38</v>
      </c>
      <c r="H222" s="71">
        <v>325.16000000000003</v>
      </c>
      <c r="I222" s="22"/>
      <c r="J222" s="22"/>
      <c r="K222" s="22"/>
      <c r="L222" s="22"/>
      <c r="M222" s="22"/>
      <c r="N222" s="22"/>
    </row>
    <row r="223" spans="1:14" ht="15.75" x14ac:dyDescent="0.25">
      <c r="A223" s="14">
        <v>44292</v>
      </c>
      <c r="B223" s="26" t="s">
        <v>21</v>
      </c>
      <c r="C223" t="s">
        <v>22</v>
      </c>
      <c r="D223" t="s">
        <v>27</v>
      </c>
      <c r="E223" s="26" t="s">
        <v>26</v>
      </c>
      <c r="F223" s="71">
        <v>150.02000000000001</v>
      </c>
      <c r="G223" s="26">
        <v>-22.5</v>
      </c>
      <c r="H223" s="71">
        <v>127.52</v>
      </c>
      <c r="I223" s="22"/>
      <c r="J223" s="22"/>
      <c r="K223" s="22"/>
      <c r="L223" s="22"/>
      <c r="M223" s="22"/>
      <c r="N223" s="22"/>
    </row>
    <row r="224" spans="1:14" ht="15.75" x14ac:dyDescent="0.25">
      <c r="A224" s="14">
        <v>44296</v>
      </c>
      <c r="B224" s="26" t="s">
        <v>21</v>
      </c>
      <c r="C224" t="s">
        <v>22</v>
      </c>
      <c r="D224" t="s">
        <v>23</v>
      </c>
      <c r="E224" s="26" t="s">
        <v>24</v>
      </c>
      <c r="F224" s="71">
        <v>-19.04</v>
      </c>
      <c r="G224" s="26">
        <v>0</v>
      </c>
      <c r="H224" s="71">
        <v>-19.04</v>
      </c>
      <c r="I224" s="22"/>
      <c r="J224" s="22"/>
      <c r="K224" s="22"/>
      <c r="L224" s="22"/>
      <c r="M224" s="22"/>
      <c r="N224" s="22"/>
    </row>
    <row r="225" spans="1:14" ht="15.75" x14ac:dyDescent="0.25">
      <c r="A225" s="14">
        <v>44302</v>
      </c>
      <c r="B225" s="26" t="s">
        <v>21</v>
      </c>
      <c r="C225" t="s">
        <v>22</v>
      </c>
      <c r="D225" t="s">
        <v>25</v>
      </c>
      <c r="E225" s="26" t="s">
        <v>26</v>
      </c>
      <c r="F225" s="71">
        <v>382.54</v>
      </c>
      <c r="G225" s="26">
        <v>-57.38</v>
      </c>
      <c r="H225" s="71">
        <v>325.16000000000003</v>
      </c>
      <c r="I225" s="22"/>
      <c r="J225" s="22"/>
      <c r="K225" s="22"/>
      <c r="L225" s="22"/>
      <c r="M225" s="22"/>
      <c r="N225" s="22"/>
    </row>
    <row r="226" spans="1:14" ht="15.75" x14ac:dyDescent="0.25">
      <c r="A226" s="14">
        <v>44302</v>
      </c>
      <c r="B226" s="26" t="s">
        <v>21</v>
      </c>
      <c r="C226" t="s">
        <v>22</v>
      </c>
      <c r="D226" t="s">
        <v>27</v>
      </c>
      <c r="E226" s="26" t="s">
        <v>26</v>
      </c>
      <c r="F226" s="71">
        <v>150.02000000000001</v>
      </c>
      <c r="G226" s="26">
        <v>-22.5</v>
      </c>
      <c r="H226" s="71">
        <v>127.52</v>
      </c>
      <c r="I226" s="22"/>
      <c r="J226" s="22"/>
      <c r="K226" s="22"/>
      <c r="L226" s="22"/>
      <c r="M226" s="22"/>
      <c r="N226" s="22"/>
    </row>
    <row r="227" spans="1:14" ht="15.75" x14ac:dyDescent="0.25">
      <c r="A227" s="14">
        <v>44316</v>
      </c>
      <c r="B227" s="26" t="s">
        <v>21</v>
      </c>
      <c r="C227" t="s">
        <v>22</v>
      </c>
      <c r="D227" t="s">
        <v>25</v>
      </c>
      <c r="E227" s="26" t="s">
        <v>26</v>
      </c>
      <c r="F227" s="71">
        <v>382.54</v>
      </c>
      <c r="G227" s="26">
        <v>-57.38</v>
      </c>
      <c r="H227" s="71">
        <v>325.16000000000003</v>
      </c>
      <c r="I227" s="22"/>
      <c r="J227" s="22"/>
      <c r="K227" s="22"/>
      <c r="L227" s="22"/>
      <c r="M227" s="22"/>
      <c r="N227" s="22"/>
    </row>
    <row r="228" spans="1:14" ht="15.75" x14ac:dyDescent="0.25">
      <c r="A228" s="14">
        <v>44316</v>
      </c>
      <c r="B228" s="26" t="s">
        <v>21</v>
      </c>
      <c r="C228" t="s">
        <v>22</v>
      </c>
      <c r="D228" t="s">
        <v>27</v>
      </c>
      <c r="E228" s="26" t="s">
        <v>26</v>
      </c>
      <c r="F228" s="71">
        <v>150.02000000000001</v>
      </c>
      <c r="G228" s="26">
        <v>-22.5</v>
      </c>
      <c r="H228" s="71">
        <v>127.52</v>
      </c>
      <c r="I228" s="22"/>
      <c r="J228" s="22"/>
      <c r="K228" s="22"/>
      <c r="L228" s="22"/>
      <c r="M228" s="22"/>
      <c r="N228" s="22"/>
    </row>
    <row r="229" spans="1:14" ht="15.75" x14ac:dyDescent="0.25">
      <c r="A229" s="14">
        <v>44324</v>
      </c>
      <c r="B229" s="26" t="s">
        <v>21</v>
      </c>
      <c r="C229" t="s">
        <v>22</v>
      </c>
      <c r="D229" t="s">
        <v>23</v>
      </c>
      <c r="E229" s="26" t="s">
        <v>24</v>
      </c>
      <c r="F229" s="71">
        <v>-18.420000000000002</v>
      </c>
      <c r="G229" s="26">
        <v>0</v>
      </c>
      <c r="H229" s="71">
        <v>-18.420000000000002</v>
      </c>
      <c r="I229" s="22"/>
      <c r="J229" s="22"/>
      <c r="K229" s="22"/>
      <c r="L229" s="22"/>
      <c r="M229" s="22"/>
      <c r="N229" s="22"/>
    </row>
    <row r="230" spans="1:14" ht="15.75" x14ac:dyDescent="0.25">
      <c r="A230" s="14">
        <v>44330</v>
      </c>
      <c r="B230" s="26" t="s">
        <v>21</v>
      </c>
      <c r="C230" t="s">
        <v>22</v>
      </c>
      <c r="D230" t="s">
        <v>25</v>
      </c>
      <c r="E230" s="26" t="s">
        <v>26</v>
      </c>
      <c r="F230" s="71">
        <v>382.54</v>
      </c>
      <c r="G230" s="26">
        <v>-57.38</v>
      </c>
      <c r="H230" s="71">
        <v>325.16000000000003</v>
      </c>
      <c r="I230" s="22"/>
      <c r="J230" s="22"/>
      <c r="K230" s="22"/>
      <c r="L230" s="22"/>
      <c r="M230" s="22"/>
      <c r="N230" s="22"/>
    </row>
    <row r="231" spans="1:14" ht="15.75" x14ac:dyDescent="0.25">
      <c r="A231" s="14">
        <v>44330</v>
      </c>
      <c r="B231" s="26" t="s">
        <v>21</v>
      </c>
      <c r="C231" t="s">
        <v>22</v>
      </c>
      <c r="D231" t="s">
        <v>27</v>
      </c>
      <c r="E231" s="26" t="s">
        <v>26</v>
      </c>
      <c r="F231" s="71">
        <v>150.02000000000001</v>
      </c>
      <c r="G231" s="26">
        <v>-22.5</v>
      </c>
      <c r="H231" s="71">
        <v>127.52</v>
      </c>
      <c r="I231" s="22"/>
      <c r="J231" s="22"/>
      <c r="K231" s="22"/>
      <c r="L231" s="22"/>
      <c r="M231" s="22"/>
      <c r="N231" s="22"/>
    </row>
    <row r="232" spans="1:14" ht="15.75" x14ac:dyDescent="0.25">
      <c r="I232" s="22"/>
      <c r="J232" s="22"/>
      <c r="K232" s="22"/>
      <c r="L232" s="22"/>
      <c r="M232" s="22"/>
      <c r="N232" s="22"/>
    </row>
    <row r="233" spans="1:14" ht="15.75" x14ac:dyDescent="0.25">
      <c r="I233" s="22"/>
      <c r="J233" s="22"/>
      <c r="K233" s="22"/>
      <c r="L233" s="22"/>
      <c r="M233" s="22"/>
      <c r="N233" s="22"/>
    </row>
    <row r="234" spans="1:14" ht="15.75" x14ac:dyDescent="0.25">
      <c r="I234" s="22"/>
      <c r="J234" s="22"/>
      <c r="K234" s="22"/>
      <c r="L234" s="22"/>
      <c r="M234" s="22"/>
      <c r="N234" s="22"/>
    </row>
    <row r="235" spans="1:14" ht="15.75" x14ac:dyDescent="0.25">
      <c r="I235" s="22"/>
      <c r="J235" s="22"/>
      <c r="K235" s="22"/>
      <c r="L235" s="22"/>
      <c r="M235" s="22"/>
      <c r="N235" s="22"/>
    </row>
    <row r="236" spans="1:14" ht="15.75" x14ac:dyDescent="0.25">
      <c r="I236" s="22"/>
      <c r="J236" s="22"/>
      <c r="K236" s="22"/>
      <c r="L236" s="22"/>
      <c r="M236" s="22"/>
      <c r="N236" s="22"/>
    </row>
    <row r="237" spans="1:14" ht="15.75" x14ac:dyDescent="0.25">
      <c r="I237" s="22"/>
      <c r="J237" s="22"/>
      <c r="K237" s="22"/>
      <c r="L237" s="22"/>
      <c r="M237" s="22"/>
      <c r="N237" s="22"/>
    </row>
    <row r="238" spans="1:14" ht="15.75" x14ac:dyDescent="0.25">
      <c r="I238" s="22"/>
      <c r="J238" s="22"/>
      <c r="K238" s="22"/>
      <c r="L238" s="22"/>
      <c r="M238" s="22"/>
      <c r="N238" s="22"/>
    </row>
    <row r="239" spans="1:14" ht="15.75" x14ac:dyDescent="0.25">
      <c r="I239" s="22"/>
      <c r="J239" s="22"/>
      <c r="K239" s="22"/>
      <c r="L239" s="22"/>
      <c r="M239" s="22"/>
      <c r="N239" s="22"/>
    </row>
    <row r="240" spans="1:14" ht="15.75" x14ac:dyDescent="0.25">
      <c r="I240" s="22"/>
      <c r="J240" s="22"/>
      <c r="K240" s="22"/>
      <c r="L240" s="22"/>
      <c r="M240" s="22"/>
      <c r="N240" s="22"/>
    </row>
    <row r="241" spans="9:14" ht="15.75" x14ac:dyDescent="0.25">
      <c r="I241" s="22"/>
      <c r="J241" s="22"/>
      <c r="K241" s="22"/>
      <c r="L241" s="22"/>
      <c r="M241" s="22"/>
      <c r="N241" s="22"/>
    </row>
    <row r="242" spans="9:14" ht="15.75" x14ac:dyDescent="0.25">
      <c r="I242" s="22"/>
      <c r="J242" s="22"/>
      <c r="K242" s="22"/>
      <c r="L242" s="22"/>
      <c r="M242" s="22"/>
      <c r="N242" s="22"/>
    </row>
    <row r="243" spans="9:14" ht="15.75" x14ac:dyDescent="0.25">
      <c r="I243" s="22"/>
      <c r="J243" s="22"/>
      <c r="K243" s="22"/>
      <c r="L243" s="22"/>
      <c r="M243" s="22"/>
      <c r="N243" s="22"/>
    </row>
    <row r="244" spans="9:14" ht="15.75" x14ac:dyDescent="0.25">
      <c r="I244" s="22"/>
      <c r="J244" s="22"/>
      <c r="K244" s="22"/>
      <c r="L244" s="22"/>
      <c r="M244" s="22"/>
      <c r="N244" s="22"/>
    </row>
    <row r="245" spans="9:14" ht="15.75" x14ac:dyDescent="0.25">
      <c r="I245" s="22"/>
      <c r="J245" s="22"/>
      <c r="K245" s="22"/>
      <c r="L245" s="22"/>
      <c r="M245" s="22"/>
      <c r="N245" s="22"/>
    </row>
    <row r="246" spans="9:14" ht="15.75" x14ac:dyDescent="0.25">
      <c r="I246" s="22"/>
      <c r="J246" s="22"/>
      <c r="K246" s="22"/>
      <c r="L246" s="22"/>
      <c r="M246" s="22"/>
      <c r="N246" s="22"/>
    </row>
    <row r="247" spans="9:14" ht="15.75" x14ac:dyDescent="0.25">
      <c r="I247" s="22"/>
      <c r="J247" s="22"/>
      <c r="K247" s="22"/>
      <c r="L247" s="22"/>
      <c r="M247" s="22"/>
      <c r="N247" s="22"/>
    </row>
    <row r="248" spans="9:14" ht="15.75" x14ac:dyDescent="0.25">
      <c r="I248" s="22"/>
      <c r="J248" s="22"/>
      <c r="K248" s="22"/>
      <c r="L248" s="22"/>
      <c r="M248" s="22"/>
      <c r="N248" s="22"/>
    </row>
    <row r="249" spans="9:14" ht="15.75" x14ac:dyDescent="0.25">
      <c r="I249" s="22"/>
      <c r="J249" s="22"/>
      <c r="K249" s="22"/>
      <c r="L249" s="22"/>
      <c r="M249" s="22"/>
      <c r="N249" s="22"/>
    </row>
    <row r="250" spans="9:14" ht="15.75" x14ac:dyDescent="0.25">
      <c r="I250" s="22"/>
      <c r="J250" s="22"/>
      <c r="K250" s="22"/>
      <c r="L250" s="22"/>
      <c r="M250" s="22"/>
      <c r="N250" s="22"/>
    </row>
    <row r="251" spans="9:14" ht="15.75" x14ac:dyDescent="0.25">
      <c r="I251" s="22"/>
      <c r="J251" s="22"/>
      <c r="K251" s="22"/>
      <c r="L251" s="22"/>
      <c r="M251" s="22"/>
      <c r="N251" s="22"/>
    </row>
    <row r="252" spans="9:14" ht="15.75" x14ac:dyDescent="0.25">
      <c r="I252" s="22"/>
      <c r="J252" s="22"/>
      <c r="K252" s="22"/>
      <c r="L252" s="22"/>
      <c r="M252" s="22"/>
      <c r="N252" s="22"/>
    </row>
    <row r="253" spans="9:14" ht="15.75" x14ac:dyDescent="0.25">
      <c r="I253" s="22"/>
      <c r="J253" s="22"/>
      <c r="K253" s="22"/>
      <c r="L253" s="22"/>
      <c r="M253" s="22"/>
      <c r="N253" s="22"/>
    </row>
    <row r="254" spans="9:14" ht="15.75" x14ac:dyDescent="0.25">
      <c r="I254" s="22"/>
      <c r="J254" s="22"/>
      <c r="K254" s="22"/>
      <c r="L254" s="22"/>
      <c r="M254" s="22"/>
      <c r="N254" s="22"/>
    </row>
    <row r="255" spans="9:14" ht="15.75" x14ac:dyDescent="0.25">
      <c r="I255" s="22"/>
      <c r="J255" s="22"/>
      <c r="K255" s="22"/>
      <c r="L255" s="22"/>
      <c r="M255" s="22"/>
      <c r="N255" s="22"/>
    </row>
    <row r="256" spans="9:14" ht="15.75" x14ac:dyDescent="0.25">
      <c r="I256" s="22"/>
      <c r="J256" s="22"/>
      <c r="K256" s="22"/>
      <c r="L256" s="22"/>
      <c r="M256" s="22"/>
      <c r="N256" s="22"/>
    </row>
    <row r="257" spans="9:14" ht="15.75" x14ac:dyDescent="0.25">
      <c r="I257" s="22"/>
      <c r="J257" s="22"/>
      <c r="K257" s="22"/>
      <c r="L257" s="22"/>
      <c r="M257" s="22"/>
      <c r="N257" s="22"/>
    </row>
    <row r="258" spans="9:14" ht="15.75" x14ac:dyDescent="0.25">
      <c r="I258" s="22"/>
      <c r="J258" s="22"/>
      <c r="K258" s="22"/>
      <c r="L258" s="22"/>
      <c r="M258" s="22"/>
      <c r="N258" s="22"/>
    </row>
    <row r="259" spans="9:14" ht="15.75" x14ac:dyDescent="0.25">
      <c r="I259" s="22"/>
      <c r="J259" s="22"/>
      <c r="K259" s="22"/>
      <c r="L259" s="22"/>
      <c r="M259" s="22"/>
      <c r="N259" s="22"/>
    </row>
    <row r="260" spans="9:14" ht="15.75" x14ac:dyDescent="0.25">
      <c r="I260" s="22"/>
      <c r="J260" s="22"/>
      <c r="K260" s="22"/>
      <c r="L260" s="22"/>
      <c r="M260" s="22"/>
      <c r="N260" s="22"/>
    </row>
    <row r="261" spans="9:14" ht="15.75" x14ac:dyDescent="0.25">
      <c r="I261" s="22"/>
      <c r="J261" s="22"/>
      <c r="K261" s="22"/>
      <c r="L261" s="22"/>
      <c r="M261" s="22"/>
      <c r="N261" s="22"/>
    </row>
    <row r="262" spans="9:14" ht="15.75" x14ac:dyDescent="0.25">
      <c r="I262" s="22"/>
      <c r="J262" s="22"/>
      <c r="K262" s="22"/>
      <c r="L262" s="22"/>
      <c r="M262" s="22"/>
      <c r="N262" s="22"/>
    </row>
    <row r="263" spans="9:14" ht="15.75" x14ac:dyDescent="0.25">
      <c r="I263" s="22"/>
      <c r="J263" s="22"/>
      <c r="K263" s="22"/>
      <c r="L263" s="22"/>
      <c r="M263" s="22"/>
      <c r="N263" s="22"/>
    </row>
    <row r="264" spans="9:14" ht="15.75" x14ac:dyDescent="0.25">
      <c r="I264" s="22"/>
      <c r="J264" s="22"/>
      <c r="K264" s="22"/>
      <c r="L264" s="22"/>
      <c r="M264" s="22"/>
      <c r="N264" s="22"/>
    </row>
    <row r="265" spans="9:14" ht="15.75" x14ac:dyDescent="0.25">
      <c r="I265" s="22"/>
      <c r="J265" s="22"/>
      <c r="K265" s="22"/>
      <c r="L265" s="22"/>
      <c r="M265" s="22"/>
      <c r="N265" s="22"/>
    </row>
    <row r="266" spans="9:14" ht="15.75" x14ac:dyDescent="0.25">
      <c r="I266" s="22"/>
      <c r="J266" s="22"/>
      <c r="K266" s="22"/>
      <c r="L266" s="22"/>
      <c r="M266" s="22"/>
      <c r="N266" s="22"/>
    </row>
    <row r="267" spans="9:14" ht="15.75" x14ac:dyDescent="0.25">
      <c r="I267" s="22"/>
      <c r="J267" s="22"/>
      <c r="K267" s="22"/>
      <c r="L267" s="22"/>
      <c r="M267" s="22"/>
      <c r="N267" s="22"/>
    </row>
    <row r="268" spans="9:14" ht="15.75" x14ac:dyDescent="0.25">
      <c r="I268" s="22"/>
      <c r="J268" s="22"/>
      <c r="K268" s="22"/>
      <c r="L268" s="22"/>
      <c r="M268" s="22"/>
      <c r="N268" s="22"/>
    </row>
    <row r="269" spans="9:14" ht="15.75" x14ac:dyDescent="0.25">
      <c r="I269" s="22"/>
      <c r="J269" s="22"/>
      <c r="K269" s="22"/>
      <c r="L269" s="22"/>
      <c r="M269" s="22"/>
      <c r="N269" s="22"/>
    </row>
    <row r="270" spans="9:14" ht="15.75" x14ac:dyDescent="0.25">
      <c r="I270" s="22"/>
      <c r="J270" s="22"/>
      <c r="K270" s="22"/>
      <c r="L270" s="22"/>
      <c r="M270" s="22"/>
      <c r="N270" s="22"/>
    </row>
    <row r="271" spans="9:14" ht="15.75" x14ac:dyDescent="0.25">
      <c r="I271" s="22"/>
      <c r="J271" s="22"/>
      <c r="K271" s="22"/>
      <c r="L271" s="22"/>
      <c r="M271" s="22"/>
      <c r="N271" s="22"/>
    </row>
    <row r="272" spans="9:14" ht="15.75" x14ac:dyDescent="0.25">
      <c r="I272" s="22"/>
      <c r="J272" s="22"/>
      <c r="K272" s="22"/>
      <c r="L272" s="22"/>
      <c r="M272" s="22"/>
      <c r="N272" s="22"/>
    </row>
    <row r="273" spans="9:14" ht="15.75" x14ac:dyDescent="0.25">
      <c r="I273" s="22"/>
      <c r="J273" s="22"/>
      <c r="K273" s="22"/>
      <c r="L273" s="22"/>
      <c r="M273" s="22"/>
      <c r="N273" s="22"/>
    </row>
    <row r="274" spans="9:14" ht="15.75" x14ac:dyDescent="0.25">
      <c r="I274" s="22"/>
      <c r="J274" s="22"/>
      <c r="K274" s="22"/>
      <c r="L274" s="22"/>
      <c r="M274" s="22"/>
      <c r="N274" s="22"/>
    </row>
    <row r="275" spans="9:14" ht="15.75" x14ac:dyDescent="0.25">
      <c r="I275" s="22"/>
      <c r="J275" s="22"/>
      <c r="K275" s="22"/>
      <c r="L275" s="22"/>
      <c r="M275" s="22"/>
      <c r="N275" s="22"/>
    </row>
    <row r="276" spans="9:14" ht="15.75" x14ac:dyDescent="0.25">
      <c r="I276" s="22"/>
      <c r="J276" s="22"/>
      <c r="K276" s="22"/>
      <c r="L276" s="22"/>
      <c r="M276" s="22"/>
      <c r="N276" s="22"/>
    </row>
    <row r="277" spans="9:14" ht="15.75" x14ac:dyDescent="0.25">
      <c r="I277" s="22"/>
      <c r="J277" s="22"/>
      <c r="K277" s="22"/>
      <c r="L277" s="22"/>
      <c r="M277" s="22"/>
      <c r="N277" s="22"/>
    </row>
    <row r="278" spans="9:14" ht="15.75" x14ac:dyDescent="0.25">
      <c r="I278" s="22"/>
      <c r="J278" s="22"/>
      <c r="K278" s="22"/>
      <c r="L278" s="22"/>
      <c r="M278" s="22"/>
      <c r="N278" s="22"/>
    </row>
    <row r="279" spans="9:14" ht="15.75" x14ac:dyDescent="0.25">
      <c r="I279" s="22"/>
      <c r="J279" s="22"/>
      <c r="K279" s="22"/>
      <c r="L279" s="22"/>
      <c r="M279" s="22"/>
      <c r="N279" s="22"/>
    </row>
    <row r="280" spans="9:14" ht="15.75" x14ac:dyDescent="0.25">
      <c r="I280" s="22"/>
      <c r="J280" s="22"/>
      <c r="K280" s="22"/>
      <c r="L280" s="22"/>
      <c r="M280" s="22"/>
      <c r="N280" s="22"/>
    </row>
    <row r="281" spans="9:14" ht="15.75" x14ac:dyDescent="0.25">
      <c r="I281" s="22"/>
      <c r="J281" s="22"/>
      <c r="K281" s="22"/>
      <c r="L281" s="22"/>
      <c r="M281" s="22"/>
      <c r="N281" s="22"/>
    </row>
    <row r="282" spans="9:14" ht="15.75" x14ac:dyDescent="0.25">
      <c r="I282" s="22"/>
      <c r="J282" s="22"/>
      <c r="K282" s="22"/>
      <c r="L282" s="22"/>
      <c r="M282" s="22"/>
      <c r="N282" s="22"/>
    </row>
    <row r="283" spans="9:14" ht="15.75" x14ac:dyDescent="0.25">
      <c r="I283" s="22"/>
      <c r="J283" s="22"/>
      <c r="K283" s="22"/>
      <c r="L283" s="22"/>
      <c r="M283" s="22"/>
      <c r="N283" s="22"/>
    </row>
    <row r="284" spans="9:14" ht="15.75" x14ac:dyDescent="0.25">
      <c r="I284" s="22"/>
      <c r="J284" s="22"/>
      <c r="K284" s="22"/>
      <c r="L284" s="22"/>
      <c r="M284" s="22"/>
      <c r="N284" s="22"/>
    </row>
    <row r="285" spans="9:14" ht="15.75" x14ac:dyDescent="0.25">
      <c r="I285" s="22"/>
      <c r="J285" s="22"/>
      <c r="K285" s="22"/>
      <c r="L285" s="22"/>
      <c r="M285" s="22"/>
      <c r="N285" s="22"/>
    </row>
    <row r="286" spans="9:14" ht="15.75" x14ac:dyDescent="0.25">
      <c r="I286" s="22"/>
      <c r="J286" s="22"/>
      <c r="K286" s="22"/>
      <c r="L286" s="22"/>
      <c r="M286" s="22"/>
      <c r="N286" s="22"/>
    </row>
    <row r="287" spans="9:14" ht="15.75" x14ac:dyDescent="0.25">
      <c r="I287" s="22"/>
      <c r="J287" s="22"/>
      <c r="K287" s="22"/>
      <c r="L287" s="22"/>
      <c r="M287" s="22"/>
      <c r="N287" s="22"/>
    </row>
    <row r="288" spans="9:14" ht="15.75" x14ac:dyDescent="0.25">
      <c r="I288" s="22"/>
      <c r="J288" s="22"/>
      <c r="K288" s="22"/>
      <c r="L288" s="22"/>
      <c r="M288" s="22"/>
      <c r="N288" s="22"/>
    </row>
    <row r="289" spans="9:14" ht="15.75" x14ac:dyDescent="0.25">
      <c r="I289" s="22"/>
      <c r="J289" s="22"/>
      <c r="K289" s="22"/>
      <c r="L289" s="22"/>
      <c r="M289" s="22"/>
      <c r="N289" s="22"/>
    </row>
    <row r="290" spans="9:14" ht="15.75" x14ac:dyDescent="0.25">
      <c r="I290" s="22"/>
      <c r="J290" s="22"/>
      <c r="K290" s="22"/>
      <c r="L290" s="22"/>
      <c r="M290" s="22"/>
      <c r="N290" s="22"/>
    </row>
    <row r="291" spans="9:14" ht="15.75" x14ac:dyDescent="0.25">
      <c r="I291" s="22"/>
      <c r="J291" s="22"/>
      <c r="K291" s="22"/>
      <c r="L291" s="22"/>
      <c r="M291" s="22"/>
      <c r="N291" s="22"/>
    </row>
    <row r="292" spans="9:14" ht="15.75" x14ac:dyDescent="0.25">
      <c r="I292" s="22"/>
      <c r="J292" s="22"/>
      <c r="K292" s="22"/>
      <c r="L292" s="22"/>
      <c r="M292" s="22"/>
      <c r="N292" s="22"/>
    </row>
    <row r="293" spans="9:14" ht="15.75" x14ac:dyDescent="0.25">
      <c r="I293" s="22"/>
      <c r="J293" s="22"/>
      <c r="K293" s="22"/>
      <c r="L293" s="22"/>
      <c r="M293" s="22"/>
      <c r="N293" s="22"/>
    </row>
    <row r="294" spans="9:14" ht="15.75" x14ac:dyDescent="0.25">
      <c r="I294" s="22"/>
      <c r="J294" s="22"/>
      <c r="K294" s="22"/>
      <c r="L294" s="22"/>
      <c r="M294" s="22"/>
      <c r="N294" s="22"/>
    </row>
    <row r="295" spans="9:14" ht="15.75" x14ac:dyDescent="0.25">
      <c r="I295" s="22"/>
      <c r="J295" s="22"/>
      <c r="K295" s="22"/>
      <c r="L295" s="22"/>
      <c r="M295" s="22"/>
      <c r="N295" s="22"/>
    </row>
    <row r="296" spans="9:14" ht="15.75" x14ac:dyDescent="0.25">
      <c r="I296" s="22"/>
      <c r="J296" s="22"/>
      <c r="K296" s="22"/>
      <c r="L296" s="22"/>
      <c r="M296" s="22"/>
      <c r="N296" s="22"/>
    </row>
    <row r="297" spans="9:14" ht="15.75" x14ac:dyDescent="0.25">
      <c r="I297" s="22"/>
      <c r="J297" s="22"/>
      <c r="K297" s="22"/>
      <c r="L297" s="22"/>
      <c r="M297" s="22"/>
      <c r="N297" s="22"/>
    </row>
    <row r="298" spans="9:14" ht="15.75" x14ac:dyDescent="0.25">
      <c r="I298" s="22"/>
      <c r="J298" s="22"/>
      <c r="K298" s="22"/>
      <c r="L298" s="22"/>
      <c r="M298" s="22"/>
      <c r="N298" s="22"/>
    </row>
    <row r="299" spans="9:14" ht="15.75" x14ac:dyDescent="0.25">
      <c r="I299" s="22"/>
      <c r="J299" s="22"/>
      <c r="K299" s="22"/>
      <c r="L299" s="22"/>
      <c r="M299" s="22"/>
      <c r="N299" s="22"/>
    </row>
    <row r="300" spans="9:14" ht="15.75" x14ac:dyDescent="0.25">
      <c r="I300" s="22"/>
      <c r="J300" s="22"/>
      <c r="K300" s="22"/>
      <c r="L300" s="22"/>
      <c r="M300" s="22"/>
      <c r="N300" s="22"/>
    </row>
    <row r="301" spans="9:14" ht="15.75" x14ac:dyDescent="0.25">
      <c r="I301" s="22"/>
      <c r="J301" s="22"/>
      <c r="K301" s="22"/>
      <c r="L301" s="22"/>
      <c r="M301" s="22"/>
      <c r="N301" s="22"/>
    </row>
    <row r="302" spans="9:14" ht="15.75" x14ac:dyDescent="0.25">
      <c r="I302" s="22"/>
      <c r="J302" s="22"/>
      <c r="K302" s="22"/>
      <c r="L302" s="22"/>
      <c r="M302" s="22"/>
      <c r="N302" s="22"/>
    </row>
    <row r="303" spans="9:14" ht="15.75" x14ac:dyDescent="0.25">
      <c r="I303" s="22"/>
      <c r="J303" s="22"/>
      <c r="K303" s="22"/>
      <c r="L303" s="22"/>
      <c r="M303" s="22"/>
      <c r="N303" s="22"/>
    </row>
    <row r="304" spans="9:14" ht="15.75" x14ac:dyDescent="0.25">
      <c r="I304" s="22"/>
      <c r="J304" s="22"/>
      <c r="K304" s="22"/>
      <c r="L304" s="22"/>
      <c r="M304" s="22"/>
      <c r="N304" s="22"/>
    </row>
    <row r="305" spans="9:14" ht="15.75" x14ac:dyDescent="0.25">
      <c r="I305" s="22"/>
      <c r="J305" s="22"/>
      <c r="K305" s="22"/>
      <c r="L305" s="22"/>
      <c r="M305" s="22"/>
      <c r="N305" s="22"/>
    </row>
    <row r="306" spans="9:14" ht="15.75" x14ac:dyDescent="0.25">
      <c r="I306" s="22"/>
      <c r="J306" s="22"/>
      <c r="K306" s="22"/>
      <c r="L306" s="22"/>
      <c r="M306" s="22"/>
      <c r="N306" s="22"/>
    </row>
    <row r="307" spans="9:14" ht="15.75" x14ac:dyDescent="0.25">
      <c r="I307" s="22"/>
      <c r="J307" s="22"/>
      <c r="K307" s="22"/>
      <c r="L307" s="22"/>
      <c r="M307" s="22"/>
      <c r="N307" s="22"/>
    </row>
    <row r="308" spans="9:14" ht="15.75" x14ac:dyDescent="0.25">
      <c r="I308" s="22"/>
      <c r="J308" s="22"/>
      <c r="K308" s="22"/>
      <c r="L308" s="22"/>
      <c r="M308" s="22"/>
      <c r="N308" s="22"/>
    </row>
    <row r="309" spans="9:14" ht="15.75" x14ac:dyDescent="0.25">
      <c r="I309" s="22"/>
      <c r="J309" s="22"/>
      <c r="K309" s="22"/>
      <c r="L309" s="22"/>
      <c r="M309" s="22"/>
      <c r="N309" s="22"/>
    </row>
    <row r="310" spans="9:14" ht="15.75" x14ac:dyDescent="0.25">
      <c r="I310" s="22"/>
      <c r="J310" s="22"/>
      <c r="K310" s="22"/>
      <c r="L310" s="22"/>
      <c r="M310" s="22"/>
      <c r="N310" s="22"/>
    </row>
    <row r="311" spans="9:14" ht="15.75" x14ac:dyDescent="0.25">
      <c r="I311" s="22"/>
      <c r="J311" s="22"/>
      <c r="K311" s="22"/>
      <c r="L311" s="22"/>
      <c r="M311" s="22"/>
      <c r="N311" s="22"/>
    </row>
    <row r="312" spans="9:14" ht="15.75" x14ac:dyDescent="0.25">
      <c r="I312" s="22"/>
      <c r="J312" s="22"/>
      <c r="K312" s="22"/>
      <c r="L312" s="22"/>
      <c r="M312" s="22"/>
      <c r="N312" s="22"/>
    </row>
    <row r="313" spans="9:14" ht="15.75" x14ac:dyDescent="0.25">
      <c r="I313" s="22"/>
      <c r="J313" s="22"/>
      <c r="K313" s="22"/>
      <c r="L313" s="22"/>
      <c r="M313" s="22"/>
      <c r="N313" s="22"/>
    </row>
    <row r="314" spans="9:14" ht="15.75" x14ac:dyDescent="0.25">
      <c r="I314" s="22"/>
      <c r="J314" s="22"/>
      <c r="K314" s="22"/>
      <c r="L314" s="22"/>
      <c r="M314" s="22"/>
      <c r="N314" s="22"/>
    </row>
    <row r="315" spans="9:14" ht="15.75" x14ac:dyDescent="0.25">
      <c r="I315" s="22"/>
      <c r="J315" s="22"/>
      <c r="K315" s="22"/>
      <c r="L315" s="22"/>
      <c r="M315" s="22"/>
      <c r="N315" s="22"/>
    </row>
    <row r="316" spans="9:14" ht="15.75" x14ac:dyDescent="0.25">
      <c r="I316" s="22"/>
      <c r="J316" s="22"/>
      <c r="K316" s="22"/>
      <c r="L316" s="22"/>
      <c r="M316" s="22"/>
      <c r="N316" s="22"/>
    </row>
    <row r="317" spans="9:14" ht="15.75" x14ac:dyDescent="0.25">
      <c r="I317" s="22"/>
      <c r="J317" s="22"/>
      <c r="K317" s="22"/>
      <c r="L317" s="22"/>
      <c r="M317" s="22"/>
      <c r="N317" s="22"/>
    </row>
    <row r="318" spans="9:14" ht="15.75" x14ac:dyDescent="0.25">
      <c r="I318" s="22"/>
      <c r="J318" s="22"/>
      <c r="K318" s="22"/>
      <c r="L318" s="22"/>
      <c r="M318" s="22"/>
      <c r="N318" s="22"/>
    </row>
    <row r="319" spans="9:14" ht="15.75" x14ac:dyDescent="0.25">
      <c r="I319" s="22"/>
      <c r="J319" s="22"/>
      <c r="K319" s="22"/>
      <c r="L319" s="22"/>
      <c r="M319" s="22"/>
      <c r="N319" s="22"/>
    </row>
    <row r="320" spans="9:14" ht="15.75" x14ac:dyDescent="0.25">
      <c r="I320" s="22"/>
      <c r="J320" s="22"/>
      <c r="K320" s="22"/>
      <c r="L320" s="22"/>
      <c r="M320" s="22"/>
      <c r="N320" s="22"/>
    </row>
    <row r="321" spans="9:14" ht="15.75" x14ac:dyDescent="0.25">
      <c r="I321" s="22"/>
      <c r="J321" s="22"/>
      <c r="K321" s="22"/>
      <c r="L321" s="22"/>
      <c r="M321" s="22"/>
      <c r="N321" s="22"/>
    </row>
    <row r="322" spans="9:14" ht="15.75" x14ac:dyDescent="0.25">
      <c r="I322" s="22"/>
      <c r="J322" s="22"/>
      <c r="K322" s="22"/>
      <c r="L322" s="22"/>
      <c r="M322" s="22"/>
      <c r="N322" s="22"/>
    </row>
    <row r="323" spans="9:14" ht="15.75" x14ac:dyDescent="0.25">
      <c r="I323" s="22"/>
      <c r="J323" s="22"/>
      <c r="K323" s="22"/>
      <c r="L323" s="22"/>
      <c r="M323" s="22"/>
      <c r="N323" s="22"/>
    </row>
    <row r="324" spans="9:14" ht="15.75" x14ac:dyDescent="0.25">
      <c r="I324" s="22"/>
      <c r="J324" s="22"/>
      <c r="K324" s="22"/>
      <c r="L324" s="22"/>
      <c r="M324" s="22"/>
      <c r="N324" s="22"/>
    </row>
    <row r="325" spans="9:14" ht="15.75" x14ac:dyDescent="0.25">
      <c r="I325" s="22"/>
      <c r="J325" s="22"/>
      <c r="K325" s="22"/>
      <c r="L325" s="22"/>
      <c r="M325" s="22"/>
      <c r="N325" s="22"/>
    </row>
    <row r="326" spans="9:14" ht="15.75" x14ac:dyDescent="0.25">
      <c r="I326" s="22"/>
      <c r="J326" s="22"/>
      <c r="K326" s="22"/>
      <c r="L326" s="22"/>
      <c r="M326" s="22"/>
      <c r="N326" s="22"/>
    </row>
    <row r="327" spans="9:14" ht="15.75" x14ac:dyDescent="0.25">
      <c r="I327" s="22"/>
      <c r="J327" s="22"/>
      <c r="K327" s="22"/>
      <c r="L327" s="22"/>
      <c r="M327" s="22"/>
      <c r="N327" s="22"/>
    </row>
    <row r="328" spans="9:14" ht="15.75" x14ac:dyDescent="0.25">
      <c r="I328" s="22"/>
      <c r="J328" s="22"/>
      <c r="K328" s="22"/>
      <c r="L328" s="22"/>
      <c r="M328" s="22"/>
      <c r="N328" s="22"/>
    </row>
    <row r="329" spans="9:14" ht="15.75" x14ac:dyDescent="0.25">
      <c r="I329" s="22"/>
      <c r="J329" s="22"/>
      <c r="K329" s="22"/>
      <c r="L329" s="22"/>
      <c r="M329" s="22"/>
      <c r="N329" s="22"/>
    </row>
    <row r="330" spans="9:14" ht="15.75" x14ac:dyDescent="0.25">
      <c r="I330" s="22"/>
      <c r="J330" s="22"/>
      <c r="K330" s="22"/>
      <c r="L330" s="22"/>
      <c r="M330" s="22"/>
      <c r="N330" s="22"/>
    </row>
    <row r="331" spans="9:14" ht="15.75" x14ac:dyDescent="0.25">
      <c r="I331" s="22"/>
      <c r="J331" s="22"/>
      <c r="K331" s="22"/>
      <c r="L331" s="22"/>
      <c r="M331" s="22"/>
      <c r="N331" s="22"/>
    </row>
    <row r="332" spans="9:14" ht="15.75" x14ac:dyDescent="0.25">
      <c r="I332" s="22"/>
      <c r="J332" s="22"/>
      <c r="K332" s="22"/>
      <c r="L332" s="22"/>
      <c r="M332" s="22"/>
      <c r="N332" s="22"/>
    </row>
    <row r="333" spans="9:14" ht="15.75" x14ac:dyDescent="0.25">
      <c r="I333" s="22"/>
      <c r="J333" s="22"/>
      <c r="K333" s="22"/>
      <c r="L333" s="22"/>
      <c r="M333" s="22"/>
      <c r="N333" s="22"/>
    </row>
    <row r="334" spans="9:14" ht="15.75" x14ac:dyDescent="0.25">
      <c r="I334" s="22"/>
      <c r="J334" s="22"/>
      <c r="K334" s="22"/>
      <c r="L334" s="22"/>
      <c r="M334" s="22"/>
      <c r="N334" s="22"/>
    </row>
    <row r="335" spans="9:14" ht="15.75" x14ac:dyDescent="0.25">
      <c r="I335" s="22"/>
      <c r="J335" s="22"/>
      <c r="K335" s="22"/>
      <c r="L335" s="22"/>
      <c r="M335" s="22"/>
      <c r="N335" s="22"/>
    </row>
    <row r="336" spans="9:14" ht="15.75" x14ac:dyDescent="0.25">
      <c r="I336" s="22"/>
      <c r="J336" s="22"/>
      <c r="K336" s="22"/>
      <c r="L336" s="22"/>
      <c r="M336" s="22"/>
      <c r="N336" s="22"/>
    </row>
    <row r="337" spans="9:14" ht="15.75" x14ac:dyDescent="0.25">
      <c r="I337" s="22"/>
      <c r="J337" s="22"/>
      <c r="K337" s="22"/>
      <c r="L337" s="22"/>
      <c r="M337" s="22"/>
      <c r="N337" s="22"/>
    </row>
    <row r="338" spans="9:14" ht="15.75" x14ac:dyDescent="0.25">
      <c r="I338" s="22"/>
      <c r="J338" s="22"/>
      <c r="K338" s="22"/>
      <c r="L338" s="22"/>
      <c r="M338" s="22"/>
      <c r="N338" s="22"/>
    </row>
    <row r="339" spans="9:14" ht="15.75" x14ac:dyDescent="0.25">
      <c r="I339" s="22"/>
      <c r="J339" s="22"/>
      <c r="K339" s="22"/>
      <c r="L339" s="22"/>
      <c r="M339" s="22"/>
      <c r="N339" s="22"/>
    </row>
    <row r="340" spans="9:14" ht="15.75" x14ac:dyDescent="0.25">
      <c r="I340" s="22"/>
      <c r="J340" s="22"/>
      <c r="K340" s="22"/>
      <c r="L340" s="22"/>
      <c r="M340" s="22"/>
      <c r="N340" s="22"/>
    </row>
    <row r="341" spans="9:14" ht="15.75" x14ac:dyDescent="0.25">
      <c r="I341" s="22"/>
      <c r="J341" s="22"/>
      <c r="K341" s="22"/>
      <c r="L341" s="22"/>
      <c r="M341" s="22"/>
      <c r="N341" s="22"/>
    </row>
    <row r="342" spans="9:14" ht="15.75" x14ac:dyDescent="0.25">
      <c r="I342" s="22"/>
      <c r="J342" s="22"/>
      <c r="K342" s="22"/>
      <c r="L342" s="22"/>
      <c r="M342" s="22"/>
      <c r="N342" s="22"/>
    </row>
    <row r="343" spans="9:14" ht="15.75" x14ac:dyDescent="0.25">
      <c r="I343" s="22"/>
      <c r="J343" s="22"/>
      <c r="K343" s="22"/>
      <c r="L343" s="22"/>
      <c r="M343" s="22"/>
      <c r="N343" s="22"/>
    </row>
    <row r="344" spans="9:14" ht="15.75" x14ac:dyDescent="0.25">
      <c r="I344" s="22"/>
      <c r="J344" s="22"/>
      <c r="K344" s="22"/>
      <c r="L344" s="22"/>
      <c r="M344" s="22"/>
      <c r="N344" s="22"/>
    </row>
    <row r="345" spans="9:14" ht="15.75" x14ac:dyDescent="0.25">
      <c r="I345" s="22"/>
      <c r="J345" s="22"/>
      <c r="K345" s="22"/>
      <c r="L345" s="22"/>
      <c r="M345" s="22"/>
      <c r="N345" s="22"/>
    </row>
    <row r="346" spans="9:14" ht="15.75" x14ac:dyDescent="0.25">
      <c r="I346" s="22"/>
      <c r="J346" s="22"/>
      <c r="K346" s="22"/>
      <c r="L346" s="22"/>
      <c r="M346" s="22"/>
      <c r="N346" s="22"/>
    </row>
    <row r="347" spans="9:14" ht="15.75" x14ac:dyDescent="0.25">
      <c r="I347" s="22"/>
      <c r="J347" s="22"/>
      <c r="K347" s="22"/>
      <c r="L347" s="22"/>
      <c r="M347" s="22"/>
      <c r="N347" s="22"/>
    </row>
    <row r="348" spans="9:14" ht="15.75" x14ac:dyDescent="0.25">
      <c r="I348" s="22"/>
      <c r="J348" s="22"/>
      <c r="K348" s="22"/>
      <c r="L348" s="22"/>
      <c r="M348" s="22"/>
      <c r="N348" s="22"/>
    </row>
    <row r="349" spans="9:14" ht="15.75" x14ac:dyDescent="0.25">
      <c r="I349" s="22"/>
      <c r="J349" s="22"/>
      <c r="K349" s="22"/>
      <c r="L349" s="22"/>
      <c r="M349" s="22"/>
      <c r="N349" s="22"/>
    </row>
    <row r="350" spans="9:14" ht="15.75" x14ac:dyDescent="0.25">
      <c r="I350" s="22"/>
      <c r="J350" s="22"/>
      <c r="K350" s="22"/>
      <c r="L350" s="22"/>
      <c r="M350" s="22"/>
      <c r="N350" s="22"/>
    </row>
    <row r="351" spans="9:14" ht="15.75" x14ac:dyDescent="0.25">
      <c r="I351" s="22"/>
      <c r="J351" s="22"/>
      <c r="K351" s="22"/>
      <c r="L351" s="22"/>
      <c r="M351" s="22"/>
      <c r="N351" s="22"/>
    </row>
    <row r="352" spans="9:14" ht="15.75" x14ac:dyDescent="0.25">
      <c r="I352" s="22"/>
      <c r="J352" s="22"/>
      <c r="K352" s="22"/>
      <c r="L352" s="22"/>
      <c r="M352" s="22"/>
      <c r="N352" s="22"/>
    </row>
    <row r="353" spans="9:14" ht="15.75" x14ac:dyDescent="0.25">
      <c r="I353" s="22"/>
      <c r="J353" s="22"/>
      <c r="K353" s="22"/>
      <c r="L353" s="22"/>
      <c r="M353" s="22"/>
      <c r="N353" s="22"/>
    </row>
    <row r="354" spans="9:14" ht="15.75" x14ac:dyDescent="0.25">
      <c r="I354" s="22"/>
      <c r="J354" s="22"/>
      <c r="K354" s="22"/>
      <c r="L354" s="22"/>
      <c r="M354" s="22"/>
      <c r="N354" s="22"/>
    </row>
    <row r="355" spans="9:14" ht="15.75" x14ac:dyDescent="0.25">
      <c r="I355" s="22"/>
      <c r="J355" s="22"/>
      <c r="K355" s="22"/>
      <c r="L355" s="22"/>
      <c r="M355" s="22"/>
      <c r="N355" s="22"/>
    </row>
    <row r="356" spans="9:14" ht="15.75" x14ac:dyDescent="0.25">
      <c r="I356" s="22"/>
      <c r="J356" s="22"/>
      <c r="K356" s="22"/>
      <c r="L356" s="22"/>
      <c r="M356" s="22"/>
      <c r="N356" s="22"/>
    </row>
    <row r="357" spans="9:14" ht="15.75" x14ac:dyDescent="0.25">
      <c r="I357" s="22"/>
      <c r="J357" s="22"/>
      <c r="K357" s="22"/>
      <c r="L357" s="22"/>
      <c r="M357" s="22"/>
      <c r="N357" s="22"/>
    </row>
    <row r="358" spans="9:14" ht="15.75" x14ac:dyDescent="0.25">
      <c r="I358" s="22"/>
      <c r="J358" s="22"/>
      <c r="K358" s="22"/>
      <c r="L358" s="22"/>
      <c r="M358" s="22"/>
      <c r="N358" s="22"/>
    </row>
    <row r="359" spans="9:14" ht="15.75" x14ac:dyDescent="0.25">
      <c r="I359" s="22"/>
      <c r="J359" s="22"/>
      <c r="K359" s="22"/>
      <c r="L359" s="22"/>
      <c r="M359" s="22"/>
      <c r="N359" s="22"/>
    </row>
    <row r="360" spans="9:14" ht="15.75" x14ac:dyDescent="0.25">
      <c r="I360" s="22"/>
      <c r="J360" s="22"/>
      <c r="K360" s="22"/>
      <c r="L360" s="22"/>
      <c r="M360" s="22"/>
      <c r="N360" s="22"/>
    </row>
    <row r="361" spans="9:14" ht="15.75" x14ac:dyDescent="0.25">
      <c r="I361" s="22"/>
      <c r="J361" s="22"/>
      <c r="K361" s="22"/>
      <c r="L361" s="22"/>
      <c r="M361" s="22"/>
      <c r="N361" s="22"/>
    </row>
    <row r="362" spans="9:14" ht="15.75" x14ac:dyDescent="0.25">
      <c r="I362" s="22"/>
      <c r="J362" s="22"/>
      <c r="K362" s="22"/>
      <c r="L362" s="22"/>
      <c r="M362" s="22"/>
      <c r="N362" s="22"/>
    </row>
    <row r="363" spans="9:14" ht="15.75" x14ac:dyDescent="0.25">
      <c r="I363" s="22"/>
      <c r="J363" s="22"/>
      <c r="K363" s="22"/>
      <c r="L363" s="22"/>
      <c r="M363" s="22"/>
      <c r="N363" s="22"/>
    </row>
    <row r="364" spans="9:14" ht="15.75" x14ac:dyDescent="0.25">
      <c r="I364" s="22"/>
      <c r="J364" s="22"/>
      <c r="K364" s="22"/>
      <c r="L364" s="22"/>
      <c r="M364" s="22"/>
      <c r="N364" s="22"/>
    </row>
    <row r="365" spans="9:14" ht="15.75" x14ac:dyDescent="0.25">
      <c r="I365" s="22"/>
      <c r="J365" s="22"/>
      <c r="K365" s="22"/>
      <c r="L365" s="22"/>
      <c r="M365" s="22"/>
      <c r="N365" s="22"/>
    </row>
    <row r="366" spans="9:14" ht="15.75" x14ac:dyDescent="0.25">
      <c r="I366" s="22"/>
      <c r="J366" s="22"/>
      <c r="K366" s="22"/>
      <c r="L366" s="22"/>
      <c r="M366" s="22"/>
      <c r="N366" s="22"/>
    </row>
    <row r="367" spans="9:14" ht="15.75" x14ac:dyDescent="0.25">
      <c r="I367" s="22"/>
      <c r="J367" s="22"/>
      <c r="K367" s="22"/>
      <c r="L367" s="22"/>
      <c r="M367" s="22"/>
      <c r="N367" s="22"/>
    </row>
    <row r="368" spans="9:14" ht="15.75" x14ac:dyDescent="0.25">
      <c r="I368" s="22"/>
      <c r="J368" s="22"/>
      <c r="K368" s="22"/>
      <c r="L368" s="22"/>
      <c r="M368" s="22"/>
      <c r="N368" s="22"/>
    </row>
    <row r="369" spans="9:14" ht="15.75" x14ac:dyDescent="0.25">
      <c r="I369" s="22"/>
      <c r="J369" s="22"/>
      <c r="K369" s="22"/>
      <c r="L369" s="22"/>
      <c r="M369" s="22"/>
      <c r="N369" s="22"/>
    </row>
    <row r="370" spans="9:14" ht="15.75" x14ac:dyDescent="0.25">
      <c r="I370" s="22"/>
      <c r="J370" s="22"/>
      <c r="K370" s="22"/>
      <c r="L370" s="22"/>
      <c r="M370" s="22"/>
      <c r="N370" s="22"/>
    </row>
    <row r="371" spans="9:14" ht="15.75" x14ac:dyDescent="0.25">
      <c r="I371" s="22"/>
      <c r="J371" s="22"/>
      <c r="K371" s="22"/>
      <c r="L371" s="22"/>
      <c r="M371" s="22"/>
      <c r="N371" s="22"/>
    </row>
    <row r="372" spans="9:14" ht="15.75" x14ac:dyDescent="0.25">
      <c r="I372" s="22"/>
      <c r="J372" s="22"/>
      <c r="K372" s="22"/>
      <c r="L372" s="22"/>
      <c r="M372" s="22"/>
      <c r="N372" s="22"/>
    </row>
    <row r="373" spans="9:14" ht="15.75" x14ac:dyDescent="0.25">
      <c r="I373" s="22"/>
      <c r="J373" s="22"/>
      <c r="K373" s="22"/>
      <c r="L373" s="22"/>
      <c r="M373" s="22"/>
      <c r="N373" s="22"/>
    </row>
    <row r="374" spans="9:14" ht="15.75" x14ac:dyDescent="0.25">
      <c r="I374" s="22"/>
      <c r="J374" s="22"/>
      <c r="K374" s="22"/>
      <c r="L374" s="22"/>
      <c r="M374" s="22"/>
      <c r="N374" s="22"/>
    </row>
    <row r="375" spans="9:14" ht="15.75" x14ac:dyDescent="0.25">
      <c r="I375" s="22"/>
      <c r="J375" s="22"/>
      <c r="K375" s="22"/>
      <c r="L375" s="22"/>
      <c r="M375" s="22"/>
      <c r="N375" s="22"/>
    </row>
    <row r="376" spans="9:14" ht="15.75" x14ac:dyDescent="0.25">
      <c r="I376" s="22"/>
      <c r="J376" s="22"/>
      <c r="K376" s="22"/>
      <c r="L376" s="22"/>
      <c r="M376" s="22"/>
      <c r="N376" s="22"/>
    </row>
    <row r="377" spans="9:14" ht="15.75" x14ac:dyDescent="0.25">
      <c r="I377" s="22"/>
      <c r="J377" s="22"/>
      <c r="K377" s="22"/>
      <c r="L377" s="22"/>
      <c r="M377" s="22"/>
      <c r="N377" s="22"/>
    </row>
    <row r="378" spans="9:14" ht="15.75" x14ac:dyDescent="0.25">
      <c r="I378" s="22"/>
      <c r="J378" s="22"/>
      <c r="K378" s="22"/>
      <c r="L378" s="22"/>
      <c r="M378" s="22"/>
      <c r="N378" s="22"/>
    </row>
    <row r="379" spans="9:14" ht="15.75" x14ac:dyDescent="0.25">
      <c r="I379" s="22"/>
      <c r="J379" s="22"/>
      <c r="K379" s="22"/>
      <c r="L379" s="22"/>
      <c r="M379" s="22"/>
      <c r="N379" s="22"/>
    </row>
    <row r="380" spans="9:14" ht="15.75" x14ac:dyDescent="0.25">
      <c r="I380" s="22"/>
      <c r="J380" s="22"/>
      <c r="K380" s="22"/>
      <c r="L380" s="22"/>
      <c r="M380" s="22"/>
      <c r="N380" s="22"/>
    </row>
    <row r="381" spans="9:14" ht="15.75" x14ac:dyDescent="0.25">
      <c r="I381" s="22"/>
      <c r="J381" s="22"/>
      <c r="K381" s="22"/>
      <c r="L381" s="22"/>
      <c r="M381" s="22"/>
      <c r="N381" s="22"/>
    </row>
    <row r="382" spans="9:14" ht="15.75" x14ac:dyDescent="0.25">
      <c r="I382" s="22"/>
      <c r="J382" s="22"/>
      <c r="K382" s="22"/>
      <c r="L382" s="22"/>
      <c r="M382" s="22"/>
      <c r="N382" s="22"/>
    </row>
    <row r="383" spans="9:14" ht="15.75" x14ac:dyDescent="0.25">
      <c r="I383" s="22"/>
      <c r="J383" s="22"/>
      <c r="K383" s="22"/>
      <c r="L383" s="22"/>
      <c r="M383" s="22"/>
      <c r="N383" s="22"/>
    </row>
    <row r="384" spans="9:14" ht="15.75" x14ac:dyDescent="0.25">
      <c r="I384" s="22"/>
      <c r="J384" s="22"/>
      <c r="K384" s="22"/>
      <c r="L384" s="22"/>
      <c r="M384" s="22"/>
      <c r="N384" s="22"/>
    </row>
    <row r="385" spans="9:14" ht="15.75" x14ac:dyDescent="0.25">
      <c r="I385" s="22"/>
      <c r="J385" s="22"/>
      <c r="K385" s="22"/>
      <c r="L385" s="22"/>
      <c r="M385" s="22"/>
      <c r="N385" s="22"/>
    </row>
    <row r="386" spans="9:14" ht="15.75" x14ac:dyDescent="0.25">
      <c r="I386" s="22"/>
      <c r="J386" s="22"/>
      <c r="K386" s="22"/>
      <c r="L386" s="22"/>
      <c r="M386" s="22"/>
      <c r="N386" s="22"/>
    </row>
    <row r="387" spans="9:14" ht="15.75" x14ac:dyDescent="0.25">
      <c r="I387" s="22"/>
      <c r="J387" s="22"/>
      <c r="K387" s="22"/>
      <c r="L387" s="22"/>
      <c r="M387" s="22"/>
      <c r="N387" s="22"/>
    </row>
    <row r="388" spans="9:14" ht="15.75" x14ac:dyDescent="0.25">
      <c r="I388" s="22"/>
      <c r="J388" s="22"/>
      <c r="K388" s="22"/>
      <c r="L388" s="22"/>
      <c r="M388" s="22"/>
      <c r="N388" s="22"/>
    </row>
    <row r="389" spans="9:14" ht="15.75" x14ac:dyDescent="0.25">
      <c r="I389" s="22"/>
      <c r="J389" s="22"/>
      <c r="K389" s="22"/>
      <c r="L389" s="22"/>
      <c r="M389" s="22"/>
      <c r="N389" s="22"/>
    </row>
    <row r="390" spans="9:14" ht="15.75" x14ac:dyDescent="0.25">
      <c r="I390" s="22"/>
      <c r="J390" s="22"/>
      <c r="K390" s="22"/>
      <c r="L390" s="22"/>
      <c r="M390" s="22"/>
      <c r="N390" s="22"/>
    </row>
    <row r="391" spans="9:14" ht="15.75" x14ac:dyDescent="0.25">
      <c r="I391" s="22"/>
      <c r="J391" s="22"/>
      <c r="K391" s="22"/>
      <c r="L391" s="22"/>
      <c r="M391" s="22"/>
      <c r="N391" s="22"/>
    </row>
    <row r="392" spans="9:14" ht="15.75" x14ac:dyDescent="0.25">
      <c r="I392" s="22"/>
      <c r="J392" s="22"/>
      <c r="K392" s="22"/>
      <c r="L392" s="22"/>
      <c r="M392" s="22"/>
      <c r="N392" s="22"/>
    </row>
    <row r="393" spans="9:14" ht="15.75" x14ac:dyDescent="0.25">
      <c r="I393" s="22"/>
      <c r="J393" s="22"/>
      <c r="K393" s="22"/>
      <c r="L393" s="22"/>
      <c r="M393" s="22"/>
      <c r="N393" s="22"/>
    </row>
  </sheetData>
  <autoFilter ref="A9:H138" xr:uid="{837A2F96-B7C3-40CA-8A3A-616EDA575C33}"/>
  <mergeCells count="1">
    <mergeCell ref="A1:B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customUI/customUI14.xml><?xml version="1.0" encoding="utf-8"?>
<customUI xmlns="http://schemas.microsoft.com/office/2009/07/customui">
  <ribbon startFromScratch="false">
    <tabs>
      <tab id="tabMSHcs" label="Transaction Tracker">
        <group id="GroupTaxSheet" label="Transaction Tracker" insertBeforeMso="GroupGetExternalData">
          <button id="btnAC" label="Checking" size="normal" onAction="btnAC_Click" imageMso="PublishMajorVersion"/>
          <button id="btnCC" label="CredCard" size="normal" onAction="btnCC_Click" imageMso="AddOrRemoveAttendees"/>
          <button id="btnRC" label="Savings" size="normal" onAction="btnRC_Click" imageMso="DataType"/>
        </group>
        <group id="GroupSupport" label="Support" insertBeforeMso="GroupGetExternalData">
          <button id="btnAbout" label="About Transaction Tracker" size="normal" onAction="btnAbout_Click" imageMso="AddResourcesFromActiveDirectory"/>
          <button id="btnHelp" label="Help" size="normal" onAction="btnHelp_Click" imageMso="BibliographyGaller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56F88F-A9FF-428E-8888-EFF782DBFF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</vt:i4>
      </vt:variant>
    </vt:vector>
  </HeadingPairs>
  <TitlesOfParts>
    <vt:vector size="20" baseType="lpstr">
      <vt:lpstr>Checking</vt:lpstr>
      <vt:lpstr>CreditCard</vt:lpstr>
      <vt:lpstr>Savings</vt:lpstr>
      <vt:lpstr>AList</vt:lpstr>
      <vt:lpstr>TSy</vt:lpstr>
      <vt:lpstr>Overview</vt:lpstr>
      <vt:lpstr>Qtr1</vt:lpstr>
      <vt:lpstr>Qtr2</vt:lpstr>
      <vt:lpstr>Qtr3</vt:lpstr>
      <vt:lpstr>Qtr4</vt:lpstr>
      <vt:lpstr>Bud-Q1</vt:lpstr>
      <vt:lpstr>Bud-Q2</vt:lpstr>
      <vt:lpstr>Bud-Q3</vt:lpstr>
      <vt:lpstr>Bud-Q4</vt:lpstr>
      <vt:lpstr>Meta</vt:lpstr>
      <vt:lpstr>QSuper</vt:lpstr>
      <vt:lpstr>'Bud-Q1'!Print_Area</vt:lpstr>
      <vt:lpstr>'Bud-Q2'!Print_Area</vt:lpstr>
      <vt:lpstr>'Bud-Q3'!Print_Area</vt:lpstr>
      <vt:lpstr>'Bud-Q4'!Print_Area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Robyn Hahn</dc:creator>
  <cp:keywords/>
  <dc:description/>
  <cp:lastModifiedBy>Management 001068</cp:lastModifiedBy>
  <cp:revision>1</cp:revision>
  <dcterms:created xsi:type="dcterms:W3CDTF">2022-07-24T12:42:17Z</dcterms:created>
  <dcterms:modified xsi:type="dcterms:W3CDTF">2024-10-17T13:12:51Z</dcterms:modified>
  <cp:category/>
  <dc:language/>
</cp:coreProperties>
</file>