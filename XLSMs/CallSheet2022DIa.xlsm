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52db9496-60d6-4da4-92cc-9dd3cdbec8f2.png" ContentType="image/.png"/>
  <Override PartName="/customUI/images/6cab3a51-a455-4abf-a408-dfe5f1723be4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dfd388950c5405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SSD/Dev/VBA/Excel-And-VBA/callSheetR/"/>
    </mc:Choice>
  </mc:AlternateContent>
  <xr:revisionPtr revIDLastSave="0" documentId="13_ncr:1_{62453F14-287D-EA41-ACFF-07F0B2809139}" xr6:coauthVersionLast="47" xr6:coauthVersionMax="47" xr10:uidLastSave="{00000000-0000-0000-0000-000000000000}"/>
  <bookViews>
    <workbookView xWindow="-33060" yWindow="2120" windowWidth="28800" windowHeight="17500" tabRatio="609" xr2:uid="{00000000-000D-0000-FFFF-FFFF00000000}"/>
  </bookViews>
  <sheets>
    <sheet name="CallSheet" sheetId="12" r:id="rId1"/>
    <sheet name="NameAndPhone" sheetId="13" r:id="rId2"/>
    <sheet name="If Nothing Works, Check This!" sheetId="14" r:id="rId3"/>
    <sheet name="SS" sheetId="18" r:id="rId4"/>
    <sheet name="AN" sheetId="16" r:id="rId5"/>
    <sheet name="PA" sheetId="17" r:id="rId6"/>
  </sheets>
  <functionGroups builtInGroupCount="19"/>
  <definedNames>
    <definedName name="_xlnm._FilterDatabase" localSheetId="4" hidden="1">AN!#REF!</definedName>
    <definedName name="_xlnm._FilterDatabase" localSheetId="1" hidden="1">NameAndPhone!$A$1:$D$84</definedName>
    <definedName name="_xlnm._FilterDatabase" localSheetId="5" hidden="1">PA!#REF!</definedName>
    <definedName name="_xlnm._FilterDatabase" localSheetId="3" hidden="1">SS!#REF!</definedName>
    <definedName name="AllProcs" localSheetId="2">#REF!</definedName>
    <definedName name="AllProcs" localSheetId="3">#REF!</definedName>
    <definedName name="AllProcs">#REF!</definedName>
    <definedName name="_xlnm.Print_Area" localSheetId="0">CallSheet!$A$1:$F$42</definedName>
    <definedName name="_xlnm.Print_Area" localSheetId="2">'If Nothing Works, Check This!'!$A$1:$A$42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2" i="12" l="1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51" i="12"/>
  <c r="E52" i="12" l="1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51" i="12"/>
  <c r="A1" i="12" l="1"/>
  <c r="E39" i="12" l="1"/>
  <c r="B39" i="12" l="1"/>
  <c r="B35" i="12" l="1"/>
  <c r="B30" i="12"/>
  <c r="B25" i="12"/>
  <c r="B20" i="12"/>
  <c r="B15" i="12"/>
  <c r="B10" i="12"/>
  <c r="B5" i="12"/>
</calcChain>
</file>

<file path=xl/sharedStrings.xml><?xml version="1.0" encoding="utf-8"?>
<sst xmlns="http://schemas.openxmlformats.org/spreadsheetml/2006/main" count="617" uniqueCount="313">
  <si>
    <t>Scrub/Scout</t>
  </si>
  <si>
    <t>PACU</t>
  </si>
  <si>
    <t>Anaesthetics</t>
  </si>
  <si>
    <t xml:space="preserve"> </t>
  </si>
  <si>
    <t>Robyn Hahn</t>
  </si>
  <si>
    <t>AHNM- Please call after hours Wardsmen on 3692/3337 when calling in Peri-Op staff and give direction that they are required to be in theatre to assist in 20mins</t>
  </si>
  <si>
    <t>Recovery (PACU)</t>
  </si>
  <si>
    <t>CONTACT DETAILS</t>
  </si>
  <si>
    <t>STAFF</t>
  </si>
  <si>
    <t>SKILL</t>
  </si>
  <si>
    <t>Day/Date</t>
  </si>
  <si>
    <t>ON CALL PERIOPERATIVE SERVICES REDLAND</t>
  </si>
  <si>
    <t>Scrub-Scout</t>
  </si>
  <si>
    <t>Starting Date</t>
  </si>
  <si>
    <t xml:space="preserve"> 6th July</t>
  </si>
  <si>
    <t>Role</t>
  </si>
  <si>
    <t>Name</t>
  </si>
  <si>
    <t>Call First</t>
  </si>
  <si>
    <t>Call Second</t>
  </si>
  <si>
    <t>Recovery(PACU)</t>
  </si>
  <si>
    <t>Also, click 'Yes' in the 'Security Warning' dialogue to avoid having to click 'Enable Content' for CallSheet on that computer in the future.</t>
  </si>
  <si>
    <r>
      <t xml:space="preserve">In order for this sheet </t>
    </r>
    <r>
      <rPr>
        <b/>
        <i/>
        <u/>
        <sz val="14"/>
        <color theme="1"/>
        <rFont val="Calibri"/>
        <family val="2"/>
        <scheme val="minor"/>
      </rPr>
      <t>to work</t>
    </r>
    <r>
      <rPr>
        <b/>
        <sz val="14"/>
        <color theme="1"/>
        <rFont val="Calibri"/>
        <family val="2"/>
        <scheme val="minor"/>
      </rPr>
      <t>, click 'Enable Content' at the top of the worksheet when opening CallSheet if the warning appears</t>
    </r>
  </si>
  <si>
    <t>Darren Aenortic</t>
  </si>
  <si>
    <t>Ishtar Annerley</t>
  </si>
  <si>
    <t>Mandy Arnotti</t>
  </si>
  <si>
    <t>Lina Bhatt</t>
  </si>
  <si>
    <t>Fred Bloggs</t>
  </si>
  <si>
    <t>Robin Blue</t>
  </si>
  <si>
    <t>Jorge Brindler</t>
  </si>
  <si>
    <t>Lola Bunter</t>
  </si>
  <si>
    <t>Mackensie Campus</t>
  </si>
  <si>
    <t>Randie Catgutt</t>
  </si>
  <si>
    <t>Sullo Charged</t>
  </si>
  <si>
    <t>Jules Cogenti</t>
  </si>
  <si>
    <t>Diele Cottentas</t>
  </si>
  <si>
    <t>Racaber Coyanga</t>
  </si>
  <si>
    <t>Krum Cuttingworth</t>
  </si>
  <si>
    <t>Loni Dumdoor</t>
  </si>
  <si>
    <t>Sindu Eagrum</t>
  </si>
  <si>
    <t>Jalopie Edwindrum</t>
  </si>
  <si>
    <t>Greg Elowin</t>
  </si>
  <si>
    <t>Eddie Fetlock</t>
  </si>
  <si>
    <t>Carl Fienbert</t>
  </si>
  <si>
    <t>Brad Floeckfield</t>
  </si>
  <si>
    <t>Patrick Forker</t>
  </si>
  <si>
    <t>Linder Fundrum</t>
  </si>
  <si>
    <t>Rob Gantry</t>
  </si>
  <si>
    <t>Jack Gavow</t>
  </si>
  <si>
    <t>Matt Giggoric</t>
  </si>
  <si>
    <t>Nick Gumtree</t>
  </si>
  <si>
    <t>Android Hailey</t>
  </si>
  <si>
    <t>Driot Hand</t>
  </si>
  <si>
    <t>Melanie Henn</t>
  </si>
  <si>
    <t>Brad Horton</t>
  </si>
  <si>
    <t>Eevie Hotfie</t>
  </si>
  <si>
    <t>Caren Ijunui</t>
  </si>
  <si>
    <t>Frederique Jabot</t>
  </si>
  <si>
    <t>Nedd Jathrow</t>
  </si>
  <si>
    <t>Rama Jobo</t>
  </si>
  <si>
    <t>Jane Joh</t>
  </si>
  <si>
    <t>Tilson Jopheter</t>
  </si>
  <si>
    <t>Ellen Kelley</t>
  </si>
  <si>
    <t>Matt Kobonatrim</t>
  </si>
  <si>
    <t>Phil Kuhfriend</t>
  </si>
  <si>
    <t>Della Lathrups</t>
  </si>
  <si>
    <t>Carl Ledbringer</t>
  </si>
  <si>
    <t>Jill Lettuce</t>
  </si>
  <si>
    <t>Mel Litwhitch</t>
  </si>
  <si>
    <t>Melinda Madrew</t>
  </si>
  <si>
    <t>Corina Maffinger</t>
  </si>
  <si>
    <t>Amiable Malevolent</t>
  </si>
  <si>
    <t>Rat Market</t>
  </si>
  <si>
    <t>Andy Marro</t>
  </si>
  <si>
    <t>Realo Matter</t>
  </si>
  <si>
    <t>Chaving Matterez</t>
  </si>
  <si>
    <t>Minckle Mayaori</t>
  </si>
  <si>
    <t>Sandy McKormique</t>
  </si>
  <si>
    <t>Taiptoo Mobitz</t>
  </si>
  <si>
    <t>Hunter Moffath</t>
  </si>
  <si>
    <t>Bart Newbold</t>
  </si>
  <si>
    <t>Candice Niedermeyer</t>
  </si>
  <si>
    <t xml:space="preserve">None </t>
  </si>
  <si>
    <t>Sam Nordert</t>
  </si>
  <si>
    <t>Gordon Nulandvoid</t>
  </si>
  <si>
    <t>Ned O'mattress</t>
  </si>
  <si>
    <t>Oma Osteotomy</t>
  </si>
  <si>
    <t>Lerrico Patriques</t>
  </si>
  <si>
    <t>Tad Pawwons</t>
  </si>
  <si>
    <t>Cetros Petros</t>
  </si>
  <si>
    <t>Kam Petrovski</t>
  </si>
  <si>
    <t>Kathryn Phickle</t>
  </si>
  <si>
    <t>Denny Rostering</t>
  </si>
  <si>
    <t>Randi Sags</t>
  </si>
  <si>
    <t>Siri Sims</t>
  </si>
  <si>
    <t>Horace Singer</t>
  </si>
  <si>
    <t>Pam Sporkinson</t>
  </si>
  <si>
    <t>Jake Stannislowski</t>
  </si>
  <si>
    <t>Sandy Steed</t>
  </si>
  <si>
    <t>Laura Tandoori</t>
  </si>
  <si>
    <t>Sam Vellow</t>
  </si>
  <si>
    <t>Jill Waffle</t>
  </si>
  <si>
    <t>Tess Weld</t>
  </si>
  <si>
    <t>Tia Yattick</t>
  </si>
  <si>
    <t>Wyatt Zatt</t>
  </si>
  <si>
    <t/>
  </si>
  <si>
    <t>0911 000 148</t>
  </si>
  <si>
    <t>0911 000 170</t>
  </si>
  <si>
    <t>0911 000 176</t>
  </si>
  <si>
    <t>0911 880 170</t>
  </si>
  <si>
    <t>0911 000 149</t>
  </si>
  <si>
    <t>0911 000 179</t>
  </si>
  <si>
    <t>0911 000 152</t>
  </si>
  <si>
    <t>0911 000 161</t>
  </si>
  <si>
    <t>0911 000 186</t>
  </si>
  <si>
    <t>0911 890 179</t>
  </si>
  <si>
    <t>0911 000 168</t>
  </si>
  <si>
    <t>0911 880 172</t>
  </si>
  <si>
    <t>0911 000 167</t>
  </si>
  <si>
    <t>0911 880 167</t>
  </si>
  <si>
    <t>0911 000 111</t>
  </si>
  <si>
    <t>0911 000 162</t>
  </si>
  <si>
    <t>0911 000 189</t>
  </si>
  <si>
    <t>0911 000 125</t>
  </si>
  <si>
    <t>0911 000 146</t>
  </si>
  <si>
    <t>0911 000 134</t>
  </si>
  <si>
    <t>0911 990 139</t>
  </si>
  <si>
    <t>0911 000 151</t>
  </si>
  <si>
    <t>0911 880 159</t>
  </si>
  <si>
    <t>0911 000 115</t>
  </si>
  <si>
    <t>0911 990 123</t>
  </si>
  <si>
    <t>0911 000 153</t>
  </si>
  <si>
    <t>0911 000 178</t>
  </si>
  <si>
    <t>0911 990 138</t>
  </si>
  <si>
    <t>0911 000 131</t>
  </si>
  <si>
    <t>0911 000 143</t>
  </si>
  <si>
    <t>0911 000 192</t>
  </si>
  <si>
    <t>0911 890 185</t>
  </si>
  <si>
    <t>0911 000 174</t>
  </si>
  <si>
    <t>0911 880 176</t>
  </si>
  <si>
    <t>0911 000 114</t>
  </si>
  <si>
    <t>0911 000 138</t>
  </si>
  <si>
    <t>0911 990 145</t>
  </si>
  <si>
    <t>0911 000 195</t>
  </si>
  <si>
    <t>0911 000 130</t>
  </si>
  <si>
    <t>0911 990 136</t>
  </si>
  <si>
    <t>0911 000 163</t>
  </si>
  <si>
    <t>0911 000 198</t>
  </si>
  <si>
    <t>0911 000 119</t>
  </si>
  <si>
    <t>0911 990 125</t>
  </si>
  <si>
    <t>0911 000 124</t>
  </si>
  <si>
    <t>0911 000 187</t>
  </si>
  <si>
    <t>0911 000 127</t>
  </si>
  <si>
    <t>0911 000 196</t>
  </si>
  <si>
    <t>0911 000 184</t>
  </si>
  <si>
    <t>0911 000 120</t>
  </si>
  <si>
    <t>0911 990 121</t>
  </si>
  <si>
    <t>0911 000 137</t>
  </si>
  <si>
    <t>0911 990 143</t>
  </si>
  <si>
    <t>0911 000 118</t>
  </si>
  <si>
    <t>0911 990 126</t>
  </si>
  <si>
    <t>0911 000 128</t>
  </si>
  <si>
    <t>0911 990 134</t>
  </si>
  <si>
    <t>0911 000 122</t>
  </si>
  <si>
    <t>0911 990 127</t>
  </si>
  <si>
    <t>0911 000 112</t>
  </si>
  <si>
    <t>0911 000 140</t>
  </si>
  <si>
    <t>0911 990 146</t>
  </si>
  <si>
    <t>0911 000 159</t>
  </si>
  <si>
    <t>0911 880 160</t>
  </si>
  <si>
    <t>0911 000 164</t>
  </si>
  <si>
    <t>0911 000 147</t>
  </si>
  <si>
    <t>0911 000 165</t>
  </si>
  <si>
    <t>0911 880 166</t>
  </si>
  <si>
    <t>0911 000 183</t>
  </si>
  <si>
    <t>0911 000 154</t>
  </si>
  <si>
    <t>0911 000 144</t>
  </si>
  <si>
    <t>0911 990 150</t>
  </si>
  <si>
    <t>0911 000 180</t>
  </si>
  <si>
    <t xml:space="preserve">   </t>
  </si>
  <si>
    <t>0911 000 182</t>
  </si>
  <si>
    <t>0911 000 193</t>
  </si>
  <si>
    <t>0911 000 136</t>
  </si>
  <si>
    <t>0911 990 142</t>
  </si>
  <si>
    <t>0911 000 160</t>
  </si>
  <si>
    <t>0911 880 161</t>
  </si>
  <si>
    <t>0911 000 126</t>
  </si>
  <si>
    <t>0911 990 132</t>
  </si>
  <si>
    <t>0911 000 155</t>
  </si>
  <si>
    <t>0911 880 156</t>
  </si>
  <si>
    <t>0911 000 190</t>
  </si>
  <si>
    <t>0911 890 183</t>
  </si>
  <si>
    <t>0911 000 121</t>
  </si>
  <si>
    <t>0911 990 128</t>
  </si>
  <si>
    <t>0911 000 169</t>
  </si>
  <si>
    <t>0911 000 166</t>
  </si>
  <si>
    <t>0911 000 141</t>
  </si>
  <si>
    <t>0911 000 117</t>
  </si>
  <si>
    <t>0911 990 124</t>
  </si>
  <si>
    <t>0911 000 145</t>
  </si>
  <si>
    <t>0911 990 151</t>
  </si>
  <si>
    <t>0911 000 181</t>
  </si>
  <si>
    <t>0911 000 197</t>
  </si>
  <si>
    <t>0911 890 190</t>
  </si>
  <si>
    <t>0911 000 173</t>
  </si>
  <si>
    <t>0911 880 174</t>
  </si>
  <si>
    <t>0911 000 194</t>
  </si>
  <si>
    <t>0911 000 129</t>
  </si>
  <si>
    <t>0911 990 135</t>
  </si>
  <si>
    <t>0911 000 191</t>
  </si>
  <si>
    <t>0911 000 123</t>
  </si>
  <si>
    <t>0911 990 129</t>
  </si>
  <si>
    <t>0911 000 185</t>
  </si>
  <si>
    <t>0911 890 178</t>
  </si>
  <si>
    <t>0911 000 175</t>
  </si>
  <si>
    <t>0911 880 175</t>
  </si>
  <si>
    <t>0911 000 200</t>
  </si>
  <si>
    <t>0911 890 192</t>
  </si>
  <si>
    <t>0911 000 201</t>
  </si>
  <si>
    <t>0911 000 156</t>
  </si>
  <si>
    <t>0911 990 122</t>
  </si>
  <si>
    <t>0911 880 178</t>
  </si>
  <si>
    <t>0911 000 202</t>
  </si>
  <si>
    <t>0911 000 115     0911 990 123</t>
  </si>
  <si>
    <t>0911 000 174     0911 880 176</t>
  </si>
  <si>
    <t>0911 000 121     0911 990 128</t>
  </si>
  <si>
    <t>0911 000 119     0911 990 125</t>
  </si>
  <si>
    <t>0911 000 192     0911 890 185</t>
  </si>
  <si>
    <t>0911 000 171     0911 880 168</t>
  </si>
  <si>
    <t>0911 000 157     0911 880 157</t>
  </si>
  <si>
    <t>0911 000 158     0911 880 159</t>
  </si>
  <si>
    <t>0911 987 135</t>
  </si>
  <si>
    <t>0911 003 077</t>
  </si>
  <si>
    <t>5432 9876</t>
  </si>
  <si>
    <t>0911 444 141</t>
  </si>
  <si>
    <t>0911 544 172</t>
  </si>
  <si>
    <t>0955 324 188</t>
  </si>
  <si>
    <t>0911 133 258</t>
  </si>
  <si>
    <t xml:space="preserve"> Anaesthetics</t>
  </si>
  <si>
    <t>Petrovino Glatica</t>
  </si>
  <si>
    <t>0915 334 556</t>
  </si>
  <si>
    <t>Tattley Glowering</t>
  </si>
  <si>
    <t>0919 019 019</t>
  </si>
  <si>
    <t>Gorgeous Federowski</t>
  </si>
  <si>
    <t>0911 556 778</t>
  </si>
  <si>
    <t>Keylloid Yllin</t>
  </si>
  <si>
    <t>0911 832 158</t>
  </si>
  <si>
    <t>Gail Inesfail</t>
  </si>
  <si>
    <t>0916 616 516</t>
  </si>
  <si>
    <t>Alfro Mightytim</t>
  </si>
  <si>
    <t>0919 191 919</t>
  </si>
  <si>
    <t>8877 6655</t>
  </si>
  <si>
    <t>Karyn Ploetzich</t>
  </si>
  <si>
    <t>0919 001 223</t>
  </si>
  <si>
    <t>Lola Last</t>
  </si>
  <si>
    <t>0901 911 911</t>
  </si>
  <si>
    <t>0914 586 798</t>
  </si>
  <si>
    <t>Gidget Schmetterling</t>
  </si>
  <si>
    <t>0934 567 890</t>
  </si>
  <si>
    <t>Buster Brown</t>
  </si>
  <si>
    <t>0911 012 345</t>
  </si>
  <si>
    <t>Mental Lenscap</t>
  </si>
  <si>
    <t>0934 353 637</t>
  </si>
  <si>
    <t>Francois Pastis</t>
  </si>
  <si>
    <t>0944 556 554</t>
  </si>
  <si>
    <t>Hiram Guestly</t>
  </si>
  <si>
    <t>0923 456 654</t>
  </si>
  <si>
    <t>Bender Chookery</t>
  </si>
  <si>
    <t>0933 445 566</t>
  </si>
  <si>
    <t>0967 234 567</t>
  </si>
  <si>
    <t>Batwing Fledermaus</t>
  </si>
  <si>
    <t>0966 788 545</t>
  </si>
  <si>
    <t>Morris Lighthouse</t>
  </si>
  <si>
    <t>0923 344 556</t>
  </si>
  <si>
    <t>Thelma Sweetslice</t>
  </si>
  <si>
    <t>0955 666 761</t>
  </si>
  <si>
    <t>Cahlee Reddybay</t>
  </si>
  <si>
    <t>0966 554 556</t>
  </si>
  <si>
    <t>Alixi Cooper</t>
  </si>
  <si>
    <t>0988 345 543</t>
  </si>
  <si>
    <t>Donny Dinghy</t>
  </si>
  <si>
    <t>0956 777 256</t>
  </si>
  <si>
    <t>Anguish Woodley</t>
  </si>
  <si>
    <t>0922 476 333</t>
  </si>
  <si>
    <t>Pamela Shortlow</t>
  </si>
  <si>
    <t>0966 655 455</t>
  </si>
  <si>
    <t>Kylee Angelic</t>
  </si>
  <si>
    <t>0977 886 554</t>
  </si>
  <si>
    <t>Blarney Apple</t>
  </si>
  <si>
    <t>0984 567 568</t>
  </si>
  <si>
    <t>Susanna Gophor</t>
  </si>
  <si>
    <t>0922 609 876</t>
  </si>
  <si>
    <t>Norbyie Monrowe</t>
  </si>
  <si>
    <t>0977 457 700</t>
  </si>
  <si>
    <t>Frodo Flannery</t>
  </si>
  <si>
    <t>0968 777 555</t>
  </si>
  <si>
    <t>Gretin Gritch</t>
  </si>
  <si>
    <t>Jonita Wittler</t>
  </si>
  <si>
    <t>0902 030 405</t>
  </si>
  <si>
    <t>0911 231 199</t>
  </si>
  <si>
    <t>Katrinn Loboblend</t>
  </si>
  <si>
    <t>0945 686 723</t>
  </si>
  <si>
    <t>Patsy Searingless</t>
  </si>
  <si>
    <t>Jamjoy Grouter</t>
  </si>
  <si>
    <t>Darren Blitortic</t>
  </si>
  <si>
    <t>0912 232 111</t>
  </si>
  <si>
    <t>9th Sep</t>
  </si>
  <si>
    <t>10th Sep</t>
  </si>
  <si>
    <t>11th Sep</t>
  </si>
  <si>
    <t>12th Sep</t>
  </si>
  <si>
    <t>13th Sep</t>
  </si>
  <si>
    <t>14th Sep</t>
  </si>
  <si>
    <t>15th Sep</t>
  </si>
  <si>
    <t>Week Commencing the 9th of SEPTEMBER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</si>
</sst>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:ss;@"/>
    <numFmt numFmtId="165" formatCode="####\ ###\ ##0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4"/>
      <name val="Arial"/>
      <family val="2"/>
    </font>
    <font>
      <b/>
      <sz val="14"/>
      <name val="Arial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4"/>
      <name val="Arial"/>
      <family val="2"/>
    </font>
    <font>
      <b/>
      <sz val="12"/>
      <name val="Arial"/>
      <family val="2"/>
    </font>
    <font>
      <b/>
      <sz val="12"/>
      <color theme="1"/>
      <name val="Calibri"/>
      <family val="2"/>
      <scheme val="minor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b/>
      <i/>
      <u/>
      <sz val="1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56">
    <xf numFmtId="0" fontId="0" fillId="0" borderId="0" xfId="0"/>
    <xf numFmtId="49" fontId="0" fillId="0" borderId="0" xfId="0" applyNumberFormat="1"/>
    <xf numFmtId="0" fontId="2" fillId="4" borderId="6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4" fillId="0" borderId="0" xfId="1" applyFont="1"/>
    <xf numFmtId="0" fontId="4" fillId="4" borderId="0" xfId="1" applyFont="1" applyFill="1"/>
    <xf numFmtId="0" fontId="4" fillId="4" borderId="0" xfId="1" applyFont="1" applyFill="1" applyAlignment="1"/>
    <xf numFmtId="0" fontId="4" fillId="2" borderId="0" xfId="1" applyFont="1" applyFill="1"/>
    <xf numFmtId="0" fontId="4" fillId="0" borderId="0" xfId="1" applyFont="1" applyAlignment="1"/>
    <xf numFmtId="0" fontId="5" fillId="4" borderId="15" xfId="1" applyFont="1" applyFill="1" applyBorder="1" applyAlignment="1">
      <alignment horizontal="right"/>
    </xf>
    <xf numFmtId="14" fontId="5" fillId="5" borderId="14" xfId="1" applyNumberFormat="1" applyFont="1" applyFill="1" applyBorder="1" applyAlignment="1">
      <alignment horizontal="center"/>
    </xf>
    <xf numFmtId="0" fontId="7" fillId="0" borderId="1" xfId="1" applyFont="1" applyBorder="1"/>
    <xf numFmtId="0" fontId="8" fillId="0" borderId="2" xfId="1" applyFont="1" applyBorder="1"/>
    <xf numFmtId="0" fontId="8" fillId="0" borderId="3" xfId="1" applyFont="1" applyBorder="1"/>
    <xf numFmtId="0" fontId="7" fillId="0" borderId="9" xfId="1" applyFont="1" applyBorder="1"/>
    <xf numFmtId="0" fontId="10" fillId="0" borderId="9" xfId="1" applyFont="1" applyBorder="1"/>
    <xf numFmtId="0" fontId="11" fillId="0" borderId="9" xfId="1" applyFont="1" applyBorder="1"/>
    <xf numFmtId="0" fontId="12" fillId="0" borderId="5" xfId="1" applyFont="1" applyBorder="1"/>
    <xf numFmtId="0" fontId="7" fillId="0" borderId="6" xfId="1" applyFont="1" applyBorder="1"/>
    <xf numFmtId="0" fontId="13" fillId="0" borderId="0" xfId="1" applyFont="1"/>
    <xf numFmtId="0" fontId="11" fillId="0" borderId="6" xfId="1" applyFont="1" applyBorder="1" applyAlignment="1">
      <alignment wrapText="1"/>
    </xf>
    <xf numFmtId="0" fontId="7" fillId="0" borderId="5" xfId="1" applyFont="1" applyBorder="1"/>
    <xf numFmtId="0" fontId="10" fillId="0" borderId="6" xfId="1" applyFont="1" applyBorder="1"/>
    <xf numFmtId="0" fontId="11" fillId="0" borderId="6" xfId="1" applyFont="1" applyBorder="1"/>
    <xf numFmtId="0" fontId="13" fillId="0" borderId="6" xfId="1" applyFont="1" applyBorder="1"/>
    <xf numFmtId="49" fontId="14" fillId="0" borderId="6" xfId="1" applyNumberFormat="1" applyFont="1" applyBorder="1"/>
    <xf numFmtId="0" fontId="4" fillId="3" borderId="5" xfId="1" applyFont="1" applyFill="1" applyBorder="1"/>
    <xf numFmtId="0" fontId="4" fillId="3" borderId="6" xfId="1" applyFont="1" applyFill="1" applyBorder="1"/>
    <xf numFmtId="0" fontId="8" fillId="3" borderId="6" xfId="1" applyFont="1" applyFill="1" applyBorder="1"/>
    <xf numFmtId="0" fontId="7" fillId="3" borderId="7" xfId="1" applyFont="1" applyFill="1" applyBorder="1"/>
    <xf numFmtId="0" fontId="9" fillId="0" borderId="5" xfId="1" applyFont="1" applyBorder="1"/>
    <xf numFmtId="0" fontId="7" fillId="3" borderId="5" xfId="1" applyFont="1" applyFill="1" applyBorder="1"/>
    <xf numFmtId="0" fontId="7" fillId="3" borderId="6" xfId="1" applyFont="1" applyFill="1" applyBorder="1"/>
    <xf numFmtId="0" fontId="12" fillId="4" borderId="0" xfId="1" applyFont="1" applyFill="1" applyAlignment="1">
      <alignment horizontal="left"/>
    </xf>
    <xf numFmtId="0" fontId="4" fillId="0" borderId="0" xfId="1" applyFont="1" applyFill="1"/>
    <xf numFmtId="0" fontId="15" fillId="0" borderId="0" xfId="1" applyFont="1" applyBorder="1"/>
    <xf numFmtId="0" fontId="9" fillId="0" borderId="4" xfId="1" applyFont="1" applyFill="1" applyBorder="1"/>
    <xf numFmtId="164" fontId="17" fillId="6" borderId="18" xfId="1" applyNumberFormat="1" applyFont="1" applyFill="1" applyBorder="1" applyAlignment="1">
      <alignment horizontal="left"/>
    </xf>
    <xf numFmtId="0" fontId="18" fillId="2" borderId="0" xfId="1" applyFont="1" applyFill="1"/>
    <xf numFmtId="0" fontId="2" fillId="0" borderId="9" xfId="1" applyFont="1" applyBorder="1"/>
    <xf numFmtId="0" fontId="20" fillId="0" borderId="19" xfId="0" applyFont="1" applyBorder="1"/>
    <xf numFmtId="165" fontId="20" fillId="0" borderId="19" xfId="0" applyNumberFormat="1" applyFont="1" applyBorder="1"/>
    <xf numFmtId="0" fontId="20" fillId="0" borderId="0" xfId="0" applyFont="1" applyBorder="1"/>
    <xf numFmtId="165" fontId="20" fillId="0" borderId="0" xfId="0" applyNumberFormat="1" applyFont="1" applyBorder="1"/>
    <xf numFmtId="0" fontId="19" fillId="0" borderId="0" xfId="1" applyFont="1" applyBorder="1"/>
    <xf numFmtId="49" fontId="20" fillId="0" borderId="0" xfId="0" applyNumberFormat="1" applyFont="1" applyBorder="1"/>
    <xf numFmtId="0" fontId="5" fillId="0" borderId="13" xfId="1" applyFont="1" applyBorder="1" applyAlignment="1">
      <alignment horizontal="center"/>
    </xf>
    <xf numFmtId="0" fontId="5" fillId="0" borderId="12" xfId="1" applyFont="1" applyBorder="1" applyAlignment="1">
      <alignment horizontal="center"/>
    </xf>
    <xf numFmtId="0" fontId="5" fillId="0" borderId="11" xfId="1" applyFont="1" applyBorder="1" applyAlignment="1">
      <alignment horizontal="center"/>
    </xf>
    <xf numFmtId="0" fontId="6" fillId="0" borderId="8" xfId="1" applyFont="1" applyFill="1" applyBorder="1" applyAlignment="1">
      <alignment horizontal="center"/>
    </xf>
    <xf numFmtId="0" fontId="6" fillId="0" borderId="0" xfId="1" applyFont="1" applyFill="1" applyBorder="1" applyAlignment="1">
      <alignment horizontal="center"/>
    </xf>
    <xf numFmtId="0" fontId="6" fillId="0" borderId="10" xfId="1" applyFont="1" applyFill="1" applyBorder="1" applyAlignment="1">
      <alignment horizontal="center"/>
    </xf>
    <xf numFmtId="0" fontId="12" fillId="0" borderId="0" xfId="1" applyFont="1" applyAlignment="1">
      <alignment horizontal="center" wrapText="1"/>
    </xf>
    <xf numFmtId="0" fontId="17" fillId="6" borderId="16" xfId="1" quotePrefix="1" applyFont="1" applyFill="1" applyBorder="1" applyAlignment="1">
      <alignment horizontal="right"/>
    </xf>
    <xf numFmtId="0" fontId="17" fillId="6" borderId="17" xfId="1" quotePrefix="1" applyFont="1" applyFill="1" applyBorder="1" applyAlignment="1">
      <alignment horizontal="right"/>
    </xf>
    <xf numFmtId="0" fontId="5" fillId="4" borderId="0" xfId="1" quotePrefix="1" applyFont="1" applyFill="1" applyAlignment="1">
      <alignment horizontal="center" vertical="top"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1133475</xdr:colOff>
      <xdr:row>7</xdr:row>
      <xdr:rowOff>228600</xdr:rowOff>
    </xdr:from>
    <xdr:to>
      <xdr:col>14</xdr:col>
      <xdr:colOff>542124</xdr:colOff>
      <xdr:row>11</xdr:row>
      <xdr:rowOff>95171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75" y="1666875"/>
          <a:ext cx="6409524" cy="628571"/>
        </a:xfrm>
        <a:prstGeom prst="rect">
          <a:avLst/>
        </a:prstGeom>
      </xdr:spPr>
    </xdr:pic>
    <xdr:clientData/>
  </xdr:twoCellAnchor>
  <xdr:twoCellAnchor editAs="oneCell">
    <xdr:from>
      <xdr:col>6</xdr:col>
      <xdr:colOff>190500</xdr:colOff>
      <xdr:row>17</xdr:row>
      <xdr:rowOff>0</xdr:rowOff>
    </xdr:from>
    <xdr:to>
      <xdr:col>12</xdr:col>
      <xdr:colOff>428138</xdr:colOff>
      <xdr:row>26</xdr:row>
      <xdr:rowOff>66463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8575" y="3371850"/>
          <a:ext cx="3895238" cy="16952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01Call"/>
  <dimension ref="A1:AF300"/>
  <sheetViews>
    <sheetView showGridLines="0" tabSelected="1" zoomScaleNormal="100" workbookViewId="0">
      <selection activeCell="C5" sqref="C5"/>
    </sheetView>
  </sheetViews>
  <sheetFormatPr baseColWidth="10" defaultColWidth="9.1640625" defaultRowHeight="15" x14ac:dyDescent="0.2"/>
  <cols>
    <col min="1" max="1" width="2.1640625" style="4" customWidth="1"/>
    <col min="2" max="2" width="10.5" style="4" customWidth="1"/>
    <col min="3" max="3" width="23.1640625" style="4" customWidth="1"/>
    <col min="4" max="4" width="27.5" style="4" customWidth="1"/>
    <col min="5" max="5" width="33.1640625" style="4" customWidth="1"/>
    <col min="6" max="6" width="1.6640625" style="4" customWidth="1"/>
    <col min="7" max="7" width="4.5" style="4" customWidth="1"/>
    <col min="8" max="8" width="16.6640625" style="4" customWidth="1"/>
    <col min="9" max="9" width="18" style="4" customWidth="1"/>
    <col min="10" max="10" width="4.6640625" style="4" customWidth="1"/>
    <col min="11" max="17" width="9.1640625" style="4"/>
    <col min="18" max="18" width="2.83203125" style="4" customWidth="1"/>
    <col min="19" max="16384" width="9.1640625" style="4"/>
  </cols>
  <sheetData>
    <row r="1" spans="1:32" ht="15" customHeight="1" thickBot="1" x14ac:dyDescent="0.25">
      <c r="A1" s="4">
        <f>COUNTA(NameAndPhone!B2:B171)</f>
        <v>113</v>
      </c>
      <c r="G1" s="5"/>
      <c r="H1" s="5"/>
      <c r="I1" s="5"/>
      <c r="J1" s="6"/>
      <c r="K1" s="7"/>
      <c r="L1" s="7"/>
      <c r="M1" s="7"/>
      <c r="N1" s="7"/>
      <c r="O1" s="7"/>
      <c r="P1" s="7"/>
      <c r="Q1" s="7"/>
      <c r="R1" s="38">
        <v>0</v>
      </c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</row>
    <row r="2" spans="1:32" ht="20" thickBot="1" x14ac:dyDescent="0.3">
      <c r="B2" s="46" t="s">
        <v>11</v>
      </c>
      <c r="C2" s="47"/>
      <c r="D2" s="47"/>
      <c r="E2" s="48"/>
      <c r="F2" s="8"/>
      <c r="G2" s="5"/>
      <c r="H2" s="9" t="s">
        <v>13</v>
      </c>
      <c r="I2" s="10">
        <v>43717</v>
      </c>
      <c r="J2" s="6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</row>
    <row r="3" spans="1:32" ht="18" thickTop="1" thickBot="1" x14ac:dyDescent="0.25">
      <c r="B3" s="49" t="s">
        <v>312</v>
      </c>
      <c r="C3" s="50"/>
      <c r="D3" s="50"/>
      <c r="E3" s="51"/>
      <c r="F3" s="8"/>
      <c r="G3" s="6"/>
      <c r="H3" s="6"/>
      <c r="I3" s="6"/>
      <c r="J3" s="6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</row>
    <row r="4" spans="1:32" ht="20" thickBot="1" x14ac:dyDescent="0.3">
      <c r="B4" s="11" t="s">
        <v>10</v>
      </c>
      <c r="C4" s="12" t="s">
        <v>9</v>
      </c>
      <c r="D4" s="12" t="s">
        <v>8</v>
      </c>
      <c r="E4" s="13" t="s">
        <v>7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</row>
    <row r="5" spans="1:32" ht="18" x14ac:dyDescent="0.2">
      <c r="B5" s="36" t="str">
        <f>UPPER(TEXT(I2, "DDDD"))</f>
        <v>MONDAY</v>
      </c>
      <c r="C5" s="14" t="s">
        <v>2</v>
      </c>
      <c r="D5" s="39" t="s">
        <v>50</v>
      </c>
      <c r="E5" s="16" t="s">
        <v>221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ht="19.5" customHeight="1" x14ac:dyDescent="0.2">
      <c r="B6" s="17" t="s">
        <v>305</v>
      </c>
      <c r="C6" s="18" t="s">
        <v>0</v>
      </c>
      <c r="D6" s="19" t="s">
        <v>100</v>
      </c>
      <c r="E6" s="20" t="s">
        <v>139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ht="18.75" customHeight="1" x14ac:dyDescent="0.2">
      <c r="B7" s="21"/>
      <c r="C7" s="18" t="s">
        <v>0</v>
      </c>
      <c r="D7" s="22" t="s">
        <v>61</v>
      </c>
      <c r="E7" s="23" t="s">
        <v>229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</row>
    <row r="8" spans="1:32" ht="18.75" customHeight="1" x14ac:dyDescent="0.2">
      <c r="B8" s="21"/>
      <c r="C8" s="18" t="s">
        <v>6</v>
      </c>
      <c r="D8" s="24" t="s">
        <v>22</v>
      </c>
      <c r="E8" s="25" t="s">
        <v>119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</row>
    <row r="9" spans="1:32" ht="6.75" customHeight="1" x14ac:dyDescent="0.25">
      <c r="B9" s="26"/>
      <c r="C9" s="27"/>
      <c r="D9" s="28"/>
      <c r="E9" s="29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</row>
    <row r="10" spans="1:32" ht="18" x14ac:dyDescent="0.2">
      <c r="B10" s="30" t="str">
        <f>UPPER(TEXT(I2 + 1, "DDDD"))</f>
        <v>TUESDAY</v>
      </c>
      <c r="C10" s="18" t="s">
        <v>2</v>
      </c>
      <c r="D10" s="15" t="s">
        <v>46</v>
      </c>
      <c r="E10" s="23" t="s">
        <v>224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</row>
    <row r="11" spans="1:32" ht="19.5" customHeight="1" x14ac:dyDescent="0.2">
      <c r="B11" s="17" t="s">
        <v>306</v>
      </c>
      <c r="C11" s="18" t="s">
        <v>0</v>
      </c>
      <c r="D11" s="22" t="s">
        <v>78</v>
      </c>
      <c r="E11" s="20" t="s">
        <v>223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</row>
    <row r="12" spans="1:32" ht="18" x14ac:dyDescent="0.2">
      <c r="B12" s="21"/>
      <c r="C12" s="18" t="s">
        <v>0</v>
      </c>
      <c r="D12" s="22" t="s">
        <v>75</v>
      </c>
      <c r="E12" s="23" t="s">
        <v>234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</row>
    <row r="13" spans="1:32" ht="18" x14ac:dyDescent="0.2">
      <c r="B13" s="21"/>
      <c r="C13" s="18" t="s">
        <v>6</v>
      </c>
      <c r="D13" s="24" t="s">
        <v>91</v>
      </c>
      <c r="E13" s="25" t="s">
        <v>121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</row>
    <row r="14" spans="1:32" ht="6" customHeight="1" x14ac:dyDescent="0.25">
      <c r="B14" s="26" t="s">
        <v>14</v>
      </c>
      <c r="C14" s="27"/>
      <c r="D14" s="28"/>
      <c r="E14" s="29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</row>
    <row r="15" spans="1:32" ht="19.5" customHeight="1" x14ac:dyDescent="0.2">
      <c r="B15" s="30" t="str">
        <f>UPPER(TEXT(I2 + 2, "DDDD"))</f>
        <v>WEDNESDAY</v>
      </c>
      <c r="C15" s="18" t="s">
        <v>2</v>
      </c>
      <c r="D15" s="15" t="s">
        <v>26</v>
      </c>
      <c r="E15" s="20" t="s">
        <v>222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</row>
    <row r="16" spans="1:32" ht="18.75" customHeight="1" x14ac:dyDescent="0.2">
      <c r="B16" s="17" t="s">
        <v>307</v>
      </c>
      <c r="C16" s="18" t="s">
        <v>0</v>
      </c>
      <c r="D16" s="22" t="s">
        <v>100</v>
      </c>
      <c r="E16" s="23" t="s">
        <v>146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</row>
    <row r="17" spans="2:32" ht="18" customHeight="1" x14ac:dyDescent="0.2">
      <c r="B17" s="21"/>
      <c r="C17" s="18" t="s">
        <v>0</v>
      </c>
      <c r="D17" s="22" t="s">
        <v>94</v>
      </c>
      <c r="E17" s="20" t="s">
        <v>226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</row>
    <row r="18" spans="2:32" ht="18" customHeight="1" x14ac:dyDescent="0.2">
      <c r="B18" s="21"/>
      <c r="C18" s="18" t="s">
        <v>6</v>
      </c>
      <c r="D18" s="24" t="s">
        <v>50</v>
      </c>
      <c r="E18" s="25" t="s">
        <v>105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</row>
    <row r="19" spans="2:32" ht="6" customHeight="1" x14ac:dyDescent="0.25">
      <c r="B19" s="31"/>
      <c r="C19" s="32"/>
      <c r="D19" s="28"/>
      <c r="E19" s="29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</row>
    <row r="20" spans="2:32" ht="18" customHeight="1" x14ac:dyDescent="0.2">
      <c r="B20" s="30" t="str">
        <f>UPPER(TEXT(I2 + 3, "DDDD"))</f>
        <v>THURSDAY</v>
      </c>
      <c r="C20" s="18" t="s">
        <v>2</v>
      </c>
      <c r="D20" s="15" t="s">
        <v>303</v>
      </c>
      <c r="E20" s="20" t="s">
        <v>304</v>
      </c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</row>
    <row r="21" spans="2:32" ht="18" x14ac:dyDescent="0.2">
      <c r="B21" s="17" t="s">
        <v>308</v>
      </c>
      <c r="C21" s="18" t="s">
        <v>0</v>
      </c>
      <c r="D21" s="22" t="s">
        <v>23</v>
      </c>
      <c r="E21" s="23" t="s">
        <v>139</v>
      </c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</row>
    <row r="22" spans="2:32" ht="18" x14ac:dyDescent="0.2">
      <c r="B22" s="21"/>
      <c r="C22" s="18" t="s">
        <v>0</v>
      </c>
      <c r="D22" s="22" t="s">
        <v>98</v>
      </c>
      <c r="E22" s="23" t="s">
        <v>152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</row>
    <row r="23" spans="2:32" ht="18" x14ac:dyDescent="0.2">
      <c r="B23" s="21"/>
      <c r="C23" s="18" t="s">
        <v>6</v>
      </c>
      <c r="D23" s="24" t="s">
        <v>51</v>
      </c>
      <c r="E23" s="25" t="s">
        <v>123</v>
      </c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</row>
    <row r="24" spans="2:32" ht="6.75" customHeight="1" x14ac:dyDescent="0.25">
      <c r="B24" s="31"/>
      <c r="C24" s="32"/>
      <c r="D24" s="28"/>
      <c r="E24" s="29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</row>
    <row r="25" spans="2:32" ht="18.75" customHeight="1" x14ac:dyDescent="0.2">
      <c r="B25" s="30" t="str">
        <f>UPPER(TEXT(I2 + 4, "DDDD"))</f>
        <v>FRIDAY</v>
      </c>
      <c r="C25" s="18" t="s">
        <v>2</v>
      </c>
      <c r="D25" s="15" t="s">
        <v>103</v>
      </c>
      <c r="E25" s="23" t="s">
        <v>221</v>
      </c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</row>
    <row r="26" spans="2:32" ht="18.75" customHeight="1" x14ac:dyDescent="0.2">
      <c r="B26" s="17" t="s">
        <v>309</v>
      </c>
      <c r="C26" s="18" t="s">
        <v>0</v>
      </c>
      <c r="D26" s="22" t="s">
        <v>70</v>
      </c>
      <c r="E26" s="23" t="s">
        <v>227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</row>
    <row r="27" spans="2:32" ht="19.5" customHeight="1" x14ac:dyDescent="0.2">
      <c r="B27" s="21"/>
      <c r="C27" s="18" t="s">
        <v>0</v>
      </c>
      <c r="D27" s="22" t="s">
        <v>42</v>
      </c>
      <c r="E27" s="20" t="s">
        <v>236</v>
      </c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</row>
    <row r="28" spans="2:32" ht="18" x14ac:dyDescent="0.2">
      <c r="B28" s="21"/>
      <c r="C28" s="18" t="s">
        <v>6</v>
      </c>
      <c r="D28" s="24" t="s">
        <v>56</v>
      </c>
      <c r="E28" s="25" t="s">
        <v>130</v>
      </c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</row>
    <row r="29" spans="2:32" ht="5.25" customHeight="1" x14ac:dyDescent="0.25">
      <c r="B29" s="31"/>
      <c r="C29" s="32"/>
      <c r="D29" s="28"/>
      <c r="E29" s="29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</row>
    <row r="30" spans="2:32" ht="18" x14ac:dyDescent="0.2">
      <c r="B30" s="30" t="str">
        <f>UPPER(TEXT(I2 + 5, "DDDD"))</f>
        <v>SATURDAY</v>
      </c>
      <c r="C30" s="18" t="s">
        <v>2</v>
      </c>
      <c r="D30" s="15" t="s">
        <v>34</v>
      </c>
      <c r="E30" s="23" t="s">
        <v>122</v>
      </c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</row>
    <row r="31" spans="2:32" ht="19.5" customHeight="1" x14ac:dyDescent="0.2">
      <c r="B31" s="17" t="s">
        <v>310</v>
      </c>
      <c r="C31" s="18" t="s">
        <v>0</v>
      </c>
      <c r="D31" s="22" t="s">
        <v>59</v>
      </c>
      <c r="E31" s="20" t="s">
        <v>228</v>
      </c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</row>
    <row r="32" spans="2:32" ht="19.5" customHeight="1" x14ac:dyDescent="0.2">
      <c r="B32" s="21"/>
      <c r="C32" s="18" t="s">
        <v>0</v>
      </c>
      <c r="D32" s="22" t="s">
        <v>64</v>
      </c>
      <c r="E32" s="20" t="s">
        <v>107</v>
      </c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</row>
    <row r="33" spans="1:32" ht="18" x14ac:dyDescent="0.2">
      <c r="B33" s="21"/>
      <c r="C33" s="18" t="s">
        <v>6</v>
      </c>
      <c r="D33" s="24" t="s">
        <v>66</v>
      </c>
      <c r="E33" s="25" t="s">
        <v>145</v>
      </c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</row>
    <row r="34" spans="1:32" ht="6.75" customHeight="1" x14ac:dyDescent="0.25">
      <c r="B34" s="31" t="s">
        <v>3</v>
      </c>
      <c r="C34" s="32"/>
      <c r="D34" s="28"/>
      <c r="E34" s="29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</row>
    <row r="35" spans="1:32" ht="18" x14ac:dyDescent="0.2">
      <c r="B35" s="30" t="str">
        <f>UPPER(TEXT(I2 + 6, "DDDD"))</f>
        <v>SUNDAY</v>
      </c>
      <c r="C35" s="18" t="s">
        <v>2</v>
      </c>
      <c r="D35" s="15" t="s">
        <v>28</v>
      </c>
      <c r="E35" s="20" t="s">
        <v>225</v>
      </c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</row>
    <row r="36" spans="1:32" ht="18" x14ac:dyDescent="0.2">
      <c r="B36" s="17" t="s">
        <v>311</v>
      </c>
      <c r="C36" s="18" t="s">
        <v>0</v>
      </c>
      <c r="D36" s="22" t="s">
        <v>80</v>
      </c>
      <c r="E36" s="23" t="s">
        <v>110</v>
      </c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</row>
    <row r="37" spans="1:32" ht="18" x14ac:dyDescent="0.2">
      <c r="B37" s="21"/>
      <c r="C37" s="18" t="s">
        <v>0</v>
      </c>
      <c r="D37" s="22" t="s">
        <v>61</v>
      </c>
      <c r="E37" s="23" t="s">
        <v>229</v>
      </c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</row>
    <row r="38" spans="1:32" ht="18" x14ac:dyDescent="0.2">
      <c r="B38" s="21"/>
      <c r="C38" s="18" t="s">
        <v>6</v>
      </c>
      <c r="D38" s="24" t="s">
        <v>55</v>
      </c>
      <c r="E38" s="25" t="s">
        <v>111</v>
      </c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</row>
    <row r="39" spans="1:32" ht="32" thickBot="1" x14ac:dyDescent="0.4">
      <c r="B39" s="53" t="str">
        <f ca="1">"Published on "&amp;DAY(TODAY())&amp;"/"&amp;MONTH(TODAY())&amp;"/"&amp;YEAR(TODAY())&amp;" at: "</f>
        <v xml:space="preserve">Published on 5/6/2022 at: </v>
      </c>
      <c r="C39" s="54"/>
      <c r="D39" s="54"/>
      <c r="E39" s="37">
        <f ca="1">NOW()</f>
        <v>44717.368738078701</v>
      </c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</row>
    <row r="40" spans="1:32" x14ac:dyDescent="0.2"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</row>
    <row r="41" spans="1:32" ht="46.5" customHeight="1" x14ac:dyDescent="0.2">
      <c r="B41" s="52" t="s">
        <v>5</v>
      </c>
      <c r="C41" s="52"/>
      <c r="D41" s="52"/>
      <c r="E41" s="52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</row>
    <row r="42" spans="1:32" x14ac:dyDescent="0.2"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</row>
    <row r="43" spans="1:32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</row>
    <row r="44" spans="1:32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</row>
    <row r="45" spans="1:32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</row>
    <row r="46" spans="1:32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</row>
    <row r="47" spans="1:32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</row>
    <row r="48" spans="1:32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</row>
    <row r="49" spans="1:32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</row>
    <row r="50" spans="1:32" ht="16" x14ac:dyDescent="0.2">
      <c r="A50" s="5"/>
      <c r="B50" s="5"/>
      <c r="C50" s="33" t="s">
        <v>12</v>
      </c>
      <c r="D50" s="33" t="s">
        <v>2</v>
      </c>
      <c r="E50" s="33" t="s">
        <v>1</v>
      </c>
      <c r="F50" s="5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</row>
    <row r="51" spans="1:32" ht="16" x14ac:dyDescent="0.2">
      <c r="A51" s="34"/>
      <c r="B51" s="34"/>
      <c r="C51" s="35" t="str">
        <f>IF(LEN(SS!A1) &gt; 0, SS!A1, "")</f>
        <v>Alixi Cooper</v>
      </c>
      <c r="D51" s="35" t="str">
        <f>IF(LEN(AN!A1) &gt; 0, AN!A1, "")</f>
        <v>Alfro Mightytim</v>
      </c>
      <c r="E51" s="35" t="str">
        <f>IF(LEN(PA!A1) &gt; 0, PA!A1, "")</f>
        <v>Buster Brown</v>
      </c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</row>
    <row r="52" spans="1:32" ht="16" x14ac:dyDescent="0.2">
      <c r="A52" s="34"/>
      <c r="B52" s="34"/>
      <c r="C52" s="35" t="str">
        <f>IF(LEN(SS!A2) &gt; 0, SS!A2, "")</f>
        <v>Anguish Woodley</v>
      </c>
      <c r="D52" s="35" t="str">
        <f>IF(LEN(AN!A2) &gt; 0, AN!A2, "")</f>
        <v>Android Hailey</v>
      </c>
      <c r="E52" s="35" t="str">
        <f>IF(LEN(PA!A2) &gt; 0, PA!A2, "")</f>
        <v>Chaving Matterez</v>
      </c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</row>
    <row r="53" spans="1:32" ht="16" x14ac:dyDescent="0.2">
      <c r="A53" s="34"/>
      <c r="B53" s="34"/>
      <c r="C53" s="35" t="str">
        <f>IF(LEN(SS!A3) &gt; 0, SS!A3, "")</f>
        <v>Bart Newbold</v>
      </c>
      <c r="D53" s="35" t="str">
        <f>IF(LEN(AN!A3) &gt; 0, AN!A3, "")</f>
        <v>Andy Marro</v>
      </c>
      <c r="E53" s="35" t="str">
        <f>IF(LEN(PA!A3) &gt; 0, PA!A3, "")</f>
        <v>Denny Rostering</v>
      </c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</row>
    <row r="54" spans="1:32" ht="16" x14ac:dyDescent="0.2">
      <c r="A54" s="34"/>
      <c r="B54" s="34"/>
      <c r="C54" s="35" t="str">
        <f>IF(LEN(SS!A4) &gt; 0, SS!A4, "")</f>
        <v>Batwing Fledermaus</v>
      </c>
      <c r="D54" s="35" t="str">
        <f>IF(LEN(AN!A4) &gt; 0, AN!A4, "")</f>
        <v>Bender Chookery</v>
      </c>
      <c r="E54" s="35" t="str">
        <f>IF(LEN(PA!A4) &gt; 0, PA!A4, "")</f>
        <v>Driot Hand</v>
      </c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</row>
    <row r="55" spans="1:32" ht="16" x14ac:dyDescent="0.2">
      <c r="A55" s="34"/>
      <c r="B55" s="34"/>
      <c r="C55" s="35" t="str">
        <f>IF(LEN(SS!A5) &gt; 0, SS!A5, "")</f>
        <v>Blarney Apple</v>
      </c>
      <c r="D55" s="35" t="str">
        <f>IF(LEN(AN!A5) &gt; 0, AN!A5, "")</f>
        <v>Brad Floeckfield</v>
      </c>
      <c r="E55" s="35" t="str">
        <f>IF(LEN(PA!A5) &gt; 0, PA!A5, "")</f>
        <v>Eevie Hotfie</v>
      </c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</row>
    <row r="56" spans="1:32" ht="16" x14ac:dyDescent="0.2">
      <c r="A56" s="34"/>
      <c r="B56" s="34"/>
      <c r="C56" s="35" t="str">
        <f>IF(LEN(SS!A6) &gt; 0, SS!A6, "")</f>
        <v>Blarney Apple</v>
      </c>
      <c r="D56" s="35" t="str">
        <f>IF(LEN(AN!A6) &gt; 0, AN!A6, "")</f>
        <v>Brad Horton</v>
      </c>
      <c r="E56" s="35" t="str">
        <f>IF(LEN(PA!A6) &gt; 0, PA!A6, "")</f>
        <v>Francois Pastis</v>
      </c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</row>
    <row r="57" spans="1:32" ht="16" x14ac:dyDescent="0.2">
      <c r="A57" s="34"/>
      <c r="B57" s="34"/>
      <c r="C57" s="35" t="str">
        <f>IF(LEN(SS!A7) &gt; 0, SS!A7, "")</f>
        <v>Candice Niedermeyer</v>
      </c>
      <c r="D57" s="35" t="str">
        <f>IF(LEN(AN!A7) &gt; 0, AN!A7, "")</f>
        <v>Cahlee Reddybay</v>
      </c>
      <c r="E57" s="35" t="str">
        <f>IF(LEN(PA!A7) &gt; 0, PA!A7, "")</f>
        <v>Frederique Jabot</v>
      </c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</row>
    <row r="58" spans="1:32" ht="16" x14ac:dyDescent="0.2">
      <c r="A58" s="34"/>
      <c r="B58" s="34"/>
      <c r="C58" s="35" t="str">
        <f>IF(LEN(SS!A8) &gt; 0, SS!A8, "")</f>
        <v>Carl Fienbert</v>
      </c>
      <c r="D58" s="35" t="str">
        <f>IF(LEN(AN!A8) &gt; 0, AN!A8, "")</f>
        <v>Caren Ijunui</v>
      </c>
      <c r="E58" s="35" t="str">
        <f>IF(LEN(PA!A8) &gt; 0, PA!A8, "")</f>
        <v>Gorgeous Federowski</v>
      </c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</row>
    <row r="59" spans="1:32" ht="16" x14ac:dyDescent="0.2">
      <c r="A59" s="34"/>
      <c r="B59" s="34"/>
      <c r="C59" s="35" t="str">
        <f>IF(LEN(SS!A9) &gt; 0, SS!A9, "")</f>
        <v>Carl Ledbringer</v>
      </c>
      <c r="D59" s="35" t="str">
        <f>IF(LEN(AN!A9) &gt; 0, AN!A9, "")</f>
        <v>Cetros Petros</v>
      </c>
      <c r="E59" s="35" t="str">
        <f>IF(LEN(PA!A9) &gt; 0, PA!A9, "")</f>
        <v>Jack Gavow</v>
      </c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</row>
    <row r="60" spans="1:32" ht="16" x14ac:dyDescent="0.2">
      <c r="A60" s="34"/>
      <c r="B60" s="34"/>
      <c r="C60" s="35" t="str">
        <f>IF(LEN(SS!A10) &gt; 0, SS!A10, "")</f>
        <v>Corina Maffinger</v>
      </c>
      <c r="D60" s="35" t="str">
        <f>IF(LEN(AN!A10) &gt; 0, AN!A10, "")</f>
        <v>Darren Blitortic</v>
      </c>
      <c r="E60" s="35" t="str">
        <f>IF(LEN(PA!A10) &gt; 0, PA!A10, "")</f>
        <v>Jake Stannislowski</v>
      </c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</row>
    <row r="61" spans="1:32" ht="16" x14ac:dyDescent="0.2">
      <c r="A61" s="34"/>
      <c r="B61" s="34"/>
      <c r="C61" s="35" t="str">
        <f>IF(LEN(SS!A11) &gt; 0, SS!A11, "")</f>
        <v>Della Lathrups</v>
      </c>
      <c r="D61" s="35" t="str">
        <f>IF(LEN(AN!A11) &gt; 0, AN!A11, "")</f>
        <v>Diele Cottentas</v>
      </c>
      <c r="E61" s="35" t="str">
        <f>IF(LEN(PA!A11) &gt; 0, PA!A11, "")</f>
        <v>Jalopie Edwindrum</v>
      </c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</row>
    <row r="62" spans="1:32" ht="16" x14ac:dyDescent="0.2">
      <c r="A62" s="34"/>
      <c r="B62" s="34"/>
      <c r="C62" s="35" t="str">
        <f>IF(LEN(SS!A12) &gt; 0, SS!A12, "")</f>
        <v>Frodo Flannery</v>
      </c>
      <c r="D62" s="35" t="str">
        <f>IF(LEN(AN!A12) &gt; 0, AN!A12, "")</f>
        <v>Donny Dinghy</v>
      </c>
      <c r="E62" s="35" t="str">
        <f>IF(LEN(PA!A12) &gt; 0, PA!A12, "")</f>
        <v>Jonita Wittler</v>
      </c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</row>
    <row r="63" spans="1:32" ht="16" x14ac:dyDescent="0.2">
      <c r="A63" s="34"/>
      <c r="B63" s="34"/>
      <c r="C63" s="35" t="str">
        <f>IF(LEN(SS!A13) &gt; 0, SS!A13, "")</f>
        <v>Frodo Flannery</v>
      </c>
      <c r="D63" s="35" t="str">
        <f>IF(LEN(AN!A13) &gt; 0, AN!A13, "")</f>
        <v>Eddie Fetlock</v>
      </c>
      <c r="E63" s="35" t="str">
        <f>IF(LEN(PA!A13) &gt; 0, PA!A13, "")</f>
        <v>Kylee Angelic</v>
      </c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</row>
    <row r="64" spans="1:32" ht="16" x14ac:dyDescent="0.2">
      <c r="A64" s="34"/>
      <c r="B64" s="34"/>
      <c r="C64" s="35" t="str">
        <f>IF(LEN(SS!A14) &gt; 0, SS!A14, "")</f>
        <v>Gidget Schmetterling</v>
      </c>
      <c r="D64" s="35" t="str">
        <f>IF(LEN(AN!A14) &gt; 0, AN!A14, "")</f>
        <v>Fred Bloggs</v>
      </c>
      <c r="E64" s="35" t="str">
        <f>IF(LEN(PA!A14) &gt; 0, PA!A14, "")</f>
        <v>Lerrico Patriques</v>
      </c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</row>
    <row r="65" spans="1:32" ht="16" x14ac:dyDescent="0.2">
      <c r="A65" s="34"/>
      <c r="B65" s="34"/>
      <c r="C65" s="35" t="str">
        <f>IF(LEN(SS!A15) &gt; 0, SS!A15, "")</f>
        <v>Gordon Nulandvoid</v>
      </c>
      <c r="D65" s="35" t="str">
        <f>IF(LEN(AN!A15) &gt; 0, AN!A15, "")</f>
        <v>Gail Inesfail</v>
      </c>
      <c r="E65" s="35" t="str">
        <f>IF(LEN(PA!A15) &gt; 0, PA!A15, "")</f>
        <v>Linder Fundrum</v>
      </c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</row>
    <row r="66" spans="1:32" ht="16" x14ac:dyDescent="0.2">
      <c r="A66" s="34"/>
      <c r="B66" s="34"/>
      <c r="C66" s="35" t="str">
        <f>IF(LEN(SS!A16) &gt; 0, SS!A16, "")</f>
        <v>Greg Elowin</v>
      </c>
      <c r="D66" s="35" t="str">
        <f>IF(LEN(AN!A16) &gt; 0, AN!A16, "")</f>
        <v>Jorge Brindler</v>
      </c>
      <c r="E66" s="35" t="str">
        <f>IF(LEN(PA!A16) &gt; 0, PA!A16, "")</f>
        <v>Loni Dumdoor</v>
      </c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</row>
    <row r="67" spans="1:32" ht="16" x14ac:dyDescent="0.2">
      <c r="A67" s="34"/>
      <c r="B67" s="34"/>
      <c r="C67" s="35" t="str">
        <f>IF(LEN(SS!A17) &gt; 0, SS!A17, "")</f>
        <v>Gretin Gritch</v>
      </c>
      <c r="D67" s="35" t="str">
        <f>IF(LEN(AN!A17) &gt; 0, AN!A17, "")</f>
        <v>Kam Petrovski</v>
      </c>
      <c r="E67" s="35" t="str">
        <f>IF(LEN(PA!A17) &gt; 0, PA!A17, "")</f>
        <v>Matt Giggoric</v>
      </c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</row>
    <row r="68" spans="1:32" ht="16" x14ac:dyDescent="0.2">
      <c r="A68" s="34"/>
      <c r="B68" s="34"/>
      <c r="C68" s="35" t="str">
        <f>IF(LEN(SS!A18) &gt; 0, SS!A18, "")</f>
        <v>Hiram Guestly</v>
      </c>
      <c r="D68" s="35" t="str">
        <f>IF(LEN(AN!A18) &gt; 0, AN!A18, "")</f>
        <v>Karyn Ploetzich</v>
      </c>
      <c r="E68" s="35" t="str">
        <f>IF(LEN(PA!A18) &gt; 0, PA!A18, "")</f>
        <v>Mel Litwhitch</v>
      </c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</row>
    <row r="69" spans="1:32" ht="16" x14ac:dyDescent="0.2">
      <c r="A69" s="34"/>
      <c r="B69" s="34"/>
      <c r="C69" s="35" t="str">
        <f>IF(LEN(SS!A19) &gt; 0, SS!A19, "")</f>
        <v>Horace Singer</v>
      </c>
      <c r="D69" s="35" t="str">
        <f>IF(LEN(AN!A19) &gt; 0, AN!A19, "")</f>
        <v>Krum Cuttingworth</v>
      </c>
      <c r="E69" s="35" t="str">
        <f>IF(LEN(PA!A19) &gt; 0, PA!A19, "")</f>
        <v>Nick Gumtree</v>
      </c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</row>
    <row r="70" spans="1:32" ht="16" x14ac:dyDescent="0.2">
      <c r="A70" s="34"/>
      <c r="B70" s="34"/>
      <c r="C70" s="35" t="str">
        <f>IF(LEN(SS!A20) &gt; 0, SS!A20, "")</f>
        <v>Hunter Moffath</v>
      </c>
      <c r="D70" s="35" t="str">
        <f>IF(LEN(AN!A20) &gt; 0, AN!A20, "")</f>
        <v>Lina Bhatt</v>
      </c>
      <c r="E70" s="35" t="str">
        <f>IF(LEN(PA!A20) &gt; 0, PA!A20, "")</f>
        <v xml:space="preserve">None </v>
      </c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</row>
    <row r="71" spans="1:32" ht="16" x14ac:dyDescent="0.2">
      <c r="A71" s="34"/>
      <c r="B71" s="34"/>
      <c r="C71" s="35" t="str">
        <f>IF(LEN(SS!A21) &gt; 0, SS!A21, "")</f>
        <v>Ishtar Annerley</v>
      </c>
      <c r="D71" s="35" t="str">
        <f>IF(LEN(AN!A21) &gt; 0, AN!A21, "")</f>
        <v>Lola Bunter</v>
      </c>
      <c r="E71" s="35" t="str">
        <f>IF(LEN(PA!A21) &gt; 0, PA!A21, "")</f>
        <v>Oma Osteotomy</v>
      </c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</row>
    <row r="72" spans="1:32" ht="16" x14ac:dyDescent="0.2">
      <c r="A72" s="34"/>
      <c r="B72" s="34"/>
      <c r="C72" s="35" t="str">
        <f>IF(LEN(SS!A22) &gt; 0, SS!A22, "")</f>
        <v>Jamjoy Grouter</v>
      </c>
      <c r="D72" s="35" t="str">
        <f>IF(LEN(AN!A22) &gt; 0, AN!A22, "")</f>
        <v>Mandy Arnotti</v>
      </c>
      <c r="E72" s="35" t="str">
        <f>IF(LEN(PA!A22) &gt; 0, PA!A22, "")</f>
        <v>Pam Sporkinson</v>
      </c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</row>
    <row r="73" spans="1:32" ht="16" x14ac:dyDescent="0.2">
      <c r="A73" s="34"/>
      <c r="B73" s="34"/>
      <c r="C73" s="35" t="str">
        <f>IF(LEN(SS!A23) &gt; 0, SS!A23, "")</f>
        <v>Jill Waffle</v>
      </c>
      <c r="D73" s="35" t="str">
        <f>IF(LEN(AN!A23) &gt; 0, AN!A23, "")</f>
        <v>Rama Jobo</v>
      </c>
      <c r="E73" s="35" t="str">
        <f>IF(LEN(PA!A23) &gt; 0, PA!A23, "")</f>
        <v>Patsy Searingless</v>
      </c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</row>
    <row r="74" spans="1:32" ht="16" x14ac:dyDescent="0.2">
      <c r="A74" s="34"/>
      <c r="B74" s="34"/>
      <c r="C74" s="35" t="str">
        <f>IF(LEN(SS!A24) &gt; 0, SS!A24, "")</f>
        <v>Jules Cogenti</v>
      </c>
      <c r="D74" s="35" t="str">
        <f>IF(LEN(AN!A24) &gt; 0, AN!A24, "")</f>
        <v>Randie Catgutt</v>
      </c>
      <c r="E74" s="35" t="str">
        <f>IF(LEN(PA!A24) &gt; 0, PA!A24, "")</f>
        <v>Racaber Coyanga</v>
      </c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</row>
    <row r="75" spans="1:32" ht="16" x14ac:dyDescent="0.2">
      <c r="A75" s="34"/>
      <c r="B75" s="34"/>
      <c r="C75" s="35" t="str">
        <f>IF(LEN(SS!A25) &gt; 0, SS!A25, "")</f>
        <v>Kathryn Phickle</v>
      </c>
      <c r="D75" s="35" t="str">
        <f>IF(LEN(AN!A25) &gt; 0, AN!A25, "")</f>
        <v>Rob Gantry</v>
      </c>
      <c r="E75" s="35" t="str">
        <f>IF(LEN(PA!A25) &gt; 0, PA!A25, "")</f>
        <v>Randi Sags</v>
      </c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</row>
    <row r="76" spans="1:32" ht="16" x14ac:dyDescent="0.2">
      <c r="A76" s="34"/>
      <c r="B76" s="34"/>
      <c r="C76" s="35" t="str">
        <f>IF(LEN(SS!A26) &gt; 0, SS!A26, "")</f>
        <v>Katrinn Loboblend</v>
      </c>
      <c r="D76" s="35" t="str">
        <f>IF(LEN(AN!A26) &gt; 0, AN!A26, "")</f>
        <v>Susanna Gophor</v>
      </c>
      <c r="E76" s="35" t="str">
        <f>IF(LEN(PA!A26) &gt; 0, PA!A26, "")</f>
        <v>Rat Market</v>
      </c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</row>
    <row r="77" spans="1:32" ht="16" x14ac:dyDescent="0.2">
      <c r="A77" s="34"/>
      <c r="B77" s="34"/>
      <c r="C77" s="35" t="str">
        <f>IF(LEN(SS!A27) &gt; 0, SS!A27, "")</f>
        <v>Keylloid Yllin</v>
      </c>
      <c r="D77" s="35" t="str">
        <f>IF(LEN(AN!A27) &gt; 0, AN!A27, "")</f>
        <v/>
      </c>
      <c r="E77" s="35" t="str">
        <f>IF(LEN(PA!A27) &gt; 0, PA!A27, "")</f>
        <v>Robin Blue</v>
      </c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</row>
    <row r="78" spans="1:32" ht="16" x14ac:dyDescent="0.2">
      <c r="A78" s="34"/>
      <c r="B78" s="34"/>
      <c r="C78" s="35" t="str">
        <f>IF(LEN(SS!A28) &gt; 0, SS!A28, "")</f>
        <v>Lola Last</v>
      </c>
      <c r="D78" s="35" t="str">
        <f>IF(LEN(AN!A28) &gt; 0, AN!A28, "")</f>
        <v/>
      </c>
      <c r="E78" s="35" t="str">
        <f>IF(LEN(PA!A28) &gt; 0, PA!A28, "")</f>
        <v>Sam Nordert</v>
      </c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</row>
    <row r="79" spans="1:32" ht="16" x14ac:dyDescent="0.2">
      <c r="A79" s="34"/>
      <c r="B79" s="34"/>
      <c r="C79" s="35" t="str">
        <f>IF(LEN(SS!A29) &gt; 0, SS!A29, "")</f>
        <v>Mackensie Campus</v>
      </c>
      <c r="D79" s="35" t="str">
        <f>IF(LEN(AN!A29) &gt; 0, AN!A29, "")</f>
        <v/>
      </c>
      <c r="E79" s="35" t="str">
        <f>IF(LEN(PA!A29) &gt; 0, PA!A29, "")</f>
        <v>Sullo Charged</v>
      </c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</row>
    <row r="80" spans="1:32" ht="16" x14ac:dyDescent="0.2">
      <c r="A80" s="34"/>
      <c r="B80" s="34"/>
      <c r="C80" s="35" t="str">
        <f>IF(LEN(SS!A30) &gt; 0, SS!A30, "")</f>
        <v>Matt Kobonatrim</v>
      </c>
      <c r="D80" s="35" t="str">
        <f>IF(LEN(AN!A30) &gt; 0, AN!A30, "")</f>
        <v/>
      </c>
      <c r="E80" s="35" t="str">
        <f>IF(LEN(PA!A30) &gt; 0, PA!A30, "")</f>
        <v>Thelma Sweetslice</v>
      </c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</row>
    <row r="81" spans="1:32" ht="16" x14ac:dyDescent="0.2">
      <c r="A81" s="34"/>
      <c r="B81" s="34"/>
      <c r="C81" s="35" t="str">
        <f>IF(LEN(SS!A31) &gt; 0, SS!A31, "")</f>
        <v>Melanie Henn</v>
      </c>
      <c r="D81" s="35" t="str">
        <f>IF(LEN(AN!A31) &gt; 0, AN!A31, "")</f>
        <v/>
      </c>
      <c r="E81" s="35" t="str">
        <f>IF(LEN(PA!A31) &gt; 0, PA!A31, "")</f>
        <v/>
      </c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</row>
    <row r="82" spans="1:32" ht="16" x14ac:dyDescent="0.2">
      <c r="A82" s="34"/>
      <c r="B82" s="34"/>
      <c r="C82" s="35" t="str">
        <f>IF(LEN(SS!A32) &gt; 0, SS!A32, "")</f>
        <v>Melinda Madrew</v>
      </c>
      <c r="D82" s="35" t="str">
        <f>IF(LEN(AN!A32) &gt; 0, AN!A32, "")</f>
        <v/>
      </c>
      <c r="E82" s="35" t="str">
        <f>IF(LEN(PA!A32) &gt; 0, PA!A32, "")</f>
        <v/>
      </c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</row>
    <row r="83" spans="1:32" ht="16" x14ac:dyDescent="0.2">
      <c r="A83" s="34"/>
      <c r="B83" s="34"/>
      <c r="C83" s="35" t="str">
        <f>IF(LEN(SS!A33) &gt; 0, SS!A33, "")</f>
        <v>Mental Lenscap</v>
      </c>
      <c r="D83" s="35" t="str">
        <f>IF(LEN(AN!A33) &gt; 0, AN!A33, "")</f>
        <v/>
      </c>
      <c r="E83" s="35" t="str">
        <f>IF(LEN(PA!A33) &gt; 0, PA!A33, "")</f>
        <v/>
      </c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</row>
    <row r="84" spans="1:32" ht="16" x14ac:dyDescent="0.2">
      <c r="A84" s="34"/>
      <c r="B84" s="34"/>
      <c r="C84" s="35" t="str">
        <f>IF(LEN(SS!A34) &gt; 0, SS!A34, "")</f>
        <v>Minckle Mayaori</v>
      </c>
      <c r="D84" s="35" t="str">
        <f>IF(LEN(AN!A34) &gt; 0, AN!A34, "")</f>
        <v/>
      </c>
      <c r="E84" s="35" t="str">
        <f>IF(LEN(PA!A34) &gt; 0, PA!A34, "")</f>
        <v/>
      </c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</row>
    <row r="85" spans="1:32" ht="16" x14ac:dyDescent="0.2">
      <c r="A85" s="34"/>
      <c r="B85" s="34"/>
      <c r="C85" s="35" t="str">
        <f>IF(LEN(SS!A35) &gt; 0, SS!A35, "")</f>
        <v>Morris Lighthouse</v>
      </c>
      <c r="D85" s="35" t="str">
        <f>IF(LEN(AN!A35) &gt; 0, AN!A35, "")</f>
        <v/>
      </c>
      <c r="E85" s="35" t="str">
        <f>IF(LEN(PA!A35) &gt; 0, PA!A35, "")</f>
        <v/>
      </c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</row>
    <row r="86" spans="1:32" ht="16" x14ac:dyDescent="0.2">
      <c r="A86" s="34"/>
      <c r="B86" s="34"/>
      <c r="C86" s="35" t="str">
        <f>IF(LEN(SS!A36) &gt; 0, SS!A36, "")</f>
        <v>Ned O'mattress</v>
      </c>
      <c r="D86" s="35" t="str">
        <f>IF(LEN(AN!A36) &gt; 0, AN!A36, "")</f>
        <v/>
      </c>
      <c r="E86" s="35" t="str">
        <f>IF(LEN(PA!A36) &gt; 0, PA!A36, "")</f>
        <v/>
      </c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</row>
    <row r="87" spans="1:32" ht="16" x14ac:dyDescent="0.2">
      <c r="A87" s="34"/>
      <c r="B87" s="34"/>
      <c r="C87" s="35" t="str">
        <f>IF(LEN(SS!A37) &gt; 0, SS!A37, "")</f>
        <v>Nedd Jathrow</v>
      </c>
      <c r="D87" s="35" t="str">
        <f>IF(LEN(AN!A37) &gt; 0, AN!A37, "")</f>
        <v/>
      </c>
      <c r="E87" s="35" t="str">
        <f>IF(LEN(PA!A37) &gt; 0, PA!A37, "")</f>
        <v/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</row>
    <row r="88" spans="1:32" ht="16" x14ac:dyDescent="0.2">
      <c r="A88" s="34"/>
      <c r="B88" s="34"/>
      <c r="C88" s="35" t="str">
        <f>IF(LEN(SS!A38) &gt; 0, SS!A38, "")</f>
        <v>Norbyie Monrowe</v>
      </c>
      <c r="D88" s="35" t="str">
        <f>IF(LEN(AN!A38) &gt; 0, AN!A38, "")</f>
        <v/>
      </c>
      <c r="E88" s="35" t="str">
        <f>IF(LEN(PA!A38) &gt; 0, PA!A38, "")</f>
        <v/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</row>
    <row r="89" spans="1:32" ht="16" x14ac:dyDescent="0.2">
      <c r="A89" s="34"/>
      <c r="B89" s="34"/>
      <c r="C89" s="35" t="str">
        <f>IF(LEN(SS!A39) &gt; 0, SS!A39, "")</f>
        <v>Norbyie Monrowe</v>
      </c>
      <c r="D89" s="35" t="str">
        <f>IF(LEN(AN!A39) &gt; 0, AN!A39, "")</f>
        <v/>
      </c>
      <c r="E89" s="35" t="str">
        <f>IF(LEN(PA!A39) &gt; 0, PA!A39, "")</f>
        <v/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</row>
    <row r="90" spans="1:32" ht="16" x14ac:dyDescent="0.2">
      <c r="A90" s="34"/>
      <c r="B90" s="34"/>
      <c r="C90" s="35" t="str">
        <f>IF(LEN(SS!A40) &gt; 0, SS!A40, "")</f>
        <v>Pamela Shortlow</v>
      </c>
      <c r="D90" s="35" t="str">
        <f>IF(LEN(AN!A40) &gt; 0, AN!A40, "")</f>
        <v/>
      </c>
      <c r="E90" s="35" t="str">
        <f>IF(LEN(PA!A40) &gt; 0, PA!A40, "")</f>
        <v/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</row>
    <row r="91" spans="1:32" ht="16" x14ac:dyDescent="0.2">
      <c r="A91" s="34"/>
      <c r="B91" s="34"/>
      <c r="C91" s="35" t="str">
        <f>IF(LEN(SS!A41) &gt; 0, SS!A41, "")</f>
        <v>Patrick Forker</v>
      </c>
      <c r="D91" s="35" t="str">
        <f>IF(LEN(AN!A41) &gt; 0, AN!A41, "")</f>
        <v/>
      </c>
      <c r="E91" s="35" t="str">
        <f>IF(LEN(PA!A41) &gt; 0, PA!A41, "")</f>
        <v/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</row>
    <row r="92" spans="1:32" ht="16" x14ac:dyDescent="0.2">
      <c r="A92" s="34"/>
      <c r="B92" s="34"/>
      <c r="C92" s="35" t="str">
        <f>IF(LEN(SS!A42) &gt; 0, SS!A42, "")</f>
        <v>Phil Kuhfriend</v>
      </c>
      <c r="D92" s="35" t="str">
        <f>IF(LEN(AN!A42) &gt; 0, AN!A42, "")</f>
        <v/>
      </c>
      <c r="E92" s="35" t="str">
        <f>IF(LEN(PA!A42) &gt; 0, PA!A42, "")</f>
        <v/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</row>
    <row r="93" spans="1:32" ht="16" x14ac:dyDescent="0.2">
      <c r="A93" s="34"/>
      <c r="B93" s="34"/>
      <c r="C93" s="35" t="str">
        <f>IF(LEN(SS!A43) &gt; 0, SS!A43, "")</f>
        <v>Realo Matter</v>
      </c>
      <c r="D93" s="35" t="str">
        <f>IF(LEN(AN!A43) &gt; 0, AN!A43, "")</f>
        <v/>
      </c>
      <c r="E93" s="35" t="str">
        <f>IF(LEN(PA!A43) &gt; 0, PA!A43, "")</f>
        <v/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</row>
    <row r="94" spans="1:32" ht="16" x14ac:dyDescent="0.2">
      <c r="A94" s="34"/>
      <c r="B94" s="34"/>
      <c r="C94" s="35" t="str">
        <f>IF(LEN(SS!A44) &gt; 0, SS!A44, "")</f>
        <v>Robyn Hahn</v>
      </c>
      <c r="D94" s="35" t="str">
        <f>IF(LEN(AN!A44) &gt; 0, AN!A44, "")</f>
        <v/>
      </c>
      <c r="E94" s="35" t="str">
        <f>IF(LEN(PA!A44) &gt; 0, PA!A44, "")</f>
        <v/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</row>
    <row r="95" spans="1:32" ht="16" x14ac:dyDescent="0.2">
      <c r="A95" s="34"/>
      <c r="B95" s="34"/>
      <c r="C95" s="35" t="str">
        <f>IF(LEN(SS!A45) &gt; 0, SS!A45, "")</f>
        <v>Sam Vellow</v>
      </c>
      <c r="D95" s="35" t="str">
        <f>IF(LEN(AN!A45) &gt; 0, AN!A45, "")</f>
        <v/>
      </c>
      <c r="E95" s="35" t="str">
        <f>IF(LEN(PA!A45) &gt; 0, PA!A45, "")</f>
        <v/>
      </c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</row>
    <row r="96" spans="1:32" ht="16" x14ac:dyDescent="0.2">
      <c r="A96" s="34"/>
      <c r="B96" s="34"/>
      <c r="C96" s="35" t="str">
        <f>IF(LEN(SS!A46) &gt; 0, SS!A46, "")</f>
        <v>Sandy McKormique</v>
      </c>
      <c r="D96" s="35" t="str">
        <f>IF(LEN(AN!A46) &gt; 0, AN!A46, "")</f>
        <v/>
      </c>
      <c r="E96" s="35" t="str">
        <f>IF(LEN(PA!A46) &gt; 0, PA!A46, "")</f>
        <v/>
      </c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</row>
    <row r="97" spans="1:32" ht="16" x14ac:dyDescent="0.2">
      <c r="A97" s="34"/>
      <c r="B97" s="34"/>
      <c r="C97" s="35" t="str">
        <f>IF(LEN(SS!A47) &gt; 0, SS!A47, "")</f>
        <v>Sandy Steed</v>
      </c>
      <c r="D97" s="35" t="str">
        <f>IF(LEN(AN!A47) &gt; 0, AN!A47, "")</f>
        <v/>
      </c>
      <c r="E97" s="35" t="str">
        <f>IF(LEN(PA!A47) &gt; 0, PA!A47, "")</f>
        <v/>
      </c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</row>
    <row r="98" spans="1:32" ht="16" x14ac:dyDescent="0.2">
      <c r="A98" s="34"/>
      <c r="B98" s="34"/>
      <c r="C98" s="35" t="str">
        <f>IF(LEN(SS!A48) &gt; 0, SS!A48, "")</f>
        <v>Sindu Eagrum</v>
      </c>
      <c r="D98" s="35" t="str">
        <f>IF(LEN(AN!A48) &gt; 0, AN!A48, "")</f>
        <v/>
      </c>
      <c r="E98" s="35" t="str">
        <f>IF(LEN(PA!A48) &gt; 0, PA!A48, "")</f>
        <v/>
      </c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</row>
    <row r="99" spans="1:32" ht="16" x14ac:dyDescent="0.2">
      <c r="A99" s="34"/>
      <c r="B99" s="34"/>
      <c r="C99" s="35" t="str">
        <f>IF(LEN(SS!A49) &gt; 0, SS!A49, "")</f>
        <v>Siri Sims</v>
      </c>
      <c r="D99" s="35" t="str">
        <f>IF(LEN(AN!A49) &gt; 0, AN!A49, "")</f>
        <v/>
      </c>
      <c r="E99" s="35" t="str">
        <f>IF(LEN(PA!A49) &gt; 0, PA!A49, "")</f>
        <v/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</row>
    <row r="100" spans="1:32" ht="16" x14ac:dyDescent="0.2">
      <c r="A100" s="34"/>
      <c r="B100" s="34"/>
      <c r="C100" s="35" t="str">
        <f>IF(LEN(SS!A50) &gt; 0, SS!A50, "")</f>
        <v>Tad Pawwons</v>
      </c>
      <c r="D100" s="35" t="str">
        <f>IF(LEN(AN!A50) &gt; 0, AN!A50, "")</f>
        <v/>
      </c>
      <c r="E100" s="35" t="str">
        <f>IF(LEN(PA!A50) &gt; 0, PA!A50, "")</f>
        <v/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</row>
    <row r="101" spans="1:32" ht="16" x14ac:dyDescent="0.2">
      <c r="A101" s="34"/>
      <c r="B101" s="34"/>
      <c r="C101" s="35" t="str">
        <f>IF(LEN(SS!A51) &gt; 0, SS!A51, "")</f>
        <v>Taiptoo Mobitz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</row>
    <row r="102" spans="1:32" ht="16" x14ac:dyDescent="0.2">
      <c r="A102" s="34"/>
      <c r="B102" s="34"/>
      <c r="C102" s="35" t="str">
        <f>IF(LEN(SS!A52) &gt; 0, SS!A52, "")</f>
        <v>Tattley Glowering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</row>
    <row r="103" spans="1:32" ht="16" x14ac:dyDescent="0.2">
      <c r="A103" s="34"/>
      <c r="B103" s="34"/>
      <c r="C103" s="35" t="str">
        <f>IF(LEN(SS!A53) &gt; 0, SS!A53, "")</f>
        <v>Tess Weld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</row>
    <row r="104" spans="1:32" ht="16" x14ac:dyDescent="0.2">
      <c r="A104" s="34"/>
      <c r="B104" s="34"/>
      <c r="C104" s="35" t="str">
        <f>IF(LEN(SS!A54) &gt; 0, SS!A54, "")</f>
        <v>Tia Yattick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</row>
    <row r="105" spans="1:32" ht="16" x14ac:dyDescent="0.2">
      <c r="A105" s="34"/>
      <c r="B105" s="34"/>
      <c r="C105" s="35" t="str">
        <f>IF(LEN(SS!A55) &gt; 0, SS!A55, "")</f>
        <v>Tilson Jopheter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</row>
    <row r="106" spans="1:32" ht="16" x14ac:dyDescent="0.2">
      <c r="A106" s="34"/>
      <c r="B106" s="34"/>
      <c r="C106" s="35" t="str">
        <f>IF(LEN(SS!A56) &gt; 0, SS!A56, "")</f>
        <v/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</row>
    <row r="107" spans="1:32" ht="16" x14ac:dyDescent="0.2">
      <c r="A107" s="34"/>
      <c r="B107" s="34"/>
      <c r="C107" s="35" t="str">
        <f>IF(LEN(SS!A57) &gt; 0, SS!A57, "")</f>
        <v/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</row>
    <row r="108" spans="1:32" ht="16" x14ac:dyDescent="0.2">
      <c r="A108" s="34"/>
      <c r="B108" s="34"/>
      <c r="C108" s="35" t="str">
        <f>IF(LEN(SS!A58) &gt; 0, SS!A58, "")</f>
        <v/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</row>
    <row r="109" spans="1:32" ht="16" x14ac:dyDescent="0.2">
      <c r="A109" s="34"/>
      <c r="B109" s="34"/>
      <c r="C109" s="35" t="str">
        <f>IF(LEN(SS!A59) &gt; 0, SS!A59, "")</f>
        <v/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</row>
    <row r="110" spans="1:32" ht="16" x14ac:dyDescent="0.2">
      <c r="A110" s="34"/>
      <c r="B110" s="34"/>
      <c r="C110" s="35" t="str">
        <f>IF(LEN(SS!A60) &gt; 0, SS!A60, "")</f>
        <v/>
      </c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</row>
    <row r="111" spans="1:32" ht="16" x14ac:dyDescent="0.2">
      <c r="A111" s="34"/>
      <c r="B111" s="34"/>
      <c r="C111" s="35" t="str">
        <f>IF(LEN(SS!A61) &gt; 0, SS!A61, "")</f>
        <v/>
      </c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</row>
    <row r="112" spans="1:32" ht="16" x14ac:dyDescent="0.2">
      <c r="A112" s="34"/>
      <c r="B112" s="34"/>
      <c r="C112" s="35" t="str">
        <f>IF(LEN(SS!A62) &gt; 0, SS!A62, "")</f>
        <v/>
      </c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</row>
    <row r="113" spans="1:32" ht="16" x14ac:dyDescent="0.2">
      <c r="A113" s="34"/>
      <c r="B113" s="34"/>
      <c r="C113" s="35" t="str">
        <f>IF(LEN(SS!A63) &gt; 0, SS!A63, "")</f>
        <v/>
      </c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</row>
    <row r="114" spans="1:32" ht="16" x14ac:dyDescent="0.2">
      <c r="A114" s="34"/>
      <c r="B114" s="34"/>
      <c r="C114" s="35" t="str">
        <f>IF(LEN(SS!A64) &gt; 0, SS!A64, "")</f>
        <v/>
      </c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</row>
    <row r="115" spans="1:32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</row>
    <row r="116" spans="1:32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</row>
    <row r="117" spans="1:32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</row>
    <row r="118" spans="1:32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</row>
    <row r="119" spans="1:32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</row>
    <row r="120" spans="1:32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</row>
    <row r="121" spans="1:32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</row>
    <row r="122" spans="1:32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</row>
    <row r="123" spans="1:32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</row>
    <row r="124" spans="1:32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</row>
    <row r="125" spans="1:32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</row>
    <row r="126" spans="1:32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</row>
    <row r="127" spans="1:32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</row>
    <row r="128" spans="1:32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</row>
    <row r="129" spans="1:32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</row>
    <row r="130" spans="1:32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</row>
    <row r="131" spans="1:32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</row>
    <row r="132" spans="1:32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</row>
    <row r="133" spans="1:32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</row>
    <row r="134" spans="1:32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</row>
    <row r="135" spans="1:32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</row>
    <row r="136" spans="1:32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</row>
    <row r="137" spans="1:32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</row>
    <row r="138" spans="1:32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</row>
    <row r="139" spans="1:32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</row>
    <row r="140" spans="1:32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</row>
    <row r="141" spans="1:32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</row>
    <row r="142" spans="1:32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</row>
    <row r="143" spans="1:32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</row>
    <row r="144" spans="1:32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</row>
    <row r="145" spans="1:32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</row>
    <row r="146" spans="1:32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</row>
    <row r="147" spans="1:32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</row>
    <row r="148" spans="1:32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</row>
    <row r="149" spans="1:32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</row>
    <row r="150" spans="1:32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</row>
    <row r="151" spans="1:32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</row>
    <row r="152" spans="1:32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</row>
    <row r="153" spans="1:32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</row>
    <row r="154" spans="1:32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</row>
    <row r="155" spans="1:32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</row>
    <row r="156" spans="1:32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</row>
    <row r="157" spans="1:32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</row>
    <row r="158" spans="1:32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</row>
    <row r="159" spans="1:32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</row>
    <row r="160" spans="1:32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</row>
    <row r="161" spans="1:32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</row>
    <row r="162" spans="1:32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</row>
    <row r="163" spans="1:32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</row>
    <row r="164" spans="1:32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</row>
    <row r="165" spans="1:32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</row>
    <row r="166" spans="1:32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</row>
    <row r="167" spans="1:32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</row>
    <row r="168" spans="1:32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</row>
    <row r="169" spans="1:32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</row>
    <row r="170" spans="1:32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</row>
    <row r="171" spans="1:32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</row>
    <row r="172" spans="1:32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</row>
    <row r="173" spans="1:32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</row>
    <row r="174" spans="1:32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</row>
    <row r="175" spans="1:32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</row>
    <row r="176" spans="1:32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</row>
    <row r="177" spans="1:32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</row>
    <row r="178" spans="1:32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</row>
    <row r="179" spans="1:32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</row>
    <row r="180" spans="1:32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</row>
    <row r="181" spans="1:32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</row>
    <row r="182" spans="1:32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</row>
    <row r="183" spans="1:32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</row>
    <row r="184" spans="1:32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</row>
    <row r="185" spans="1:32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</row>
    <row r="186" spans="1:32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</row>
    <row r="187" spans="1:32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</row>
    <row r="188" spans="1:32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</row>
    <row r="189" spans="1:32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</row>
    <row r="190" spans="1:32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</row>
    <row r="191" spans="1:32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</row>
    <row r="192" spans="1:32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</row>
    <row r="193" spans="1:32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</row>
    <row r="194" spans="1:32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</row>
    <row r="195" spans="1:32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</row>
    <row r="196" spans="1:32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</row>
    <row r="197" spans="1:32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</row>
    <row r="198" spans="1:32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</row>
    <row r="199" spans="1:32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</row>
    <row r="200" spans="1:32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</row>
    <row r="201" spans="1:32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</row>
    <row r="202" spans="1:32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</row>
    <row r="203" spans="1:32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</row>
    <row r="204" spans="1:32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</row>
    <row r="205" spans="1:32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</row>
    <row r="206" spans="1:32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</row>
    <row r="207" spans="1:32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</row>
    <row r="208" spans="1:32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</row>
    <row r="209" spans="1:32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</row>
    <row r="210" spans="1:32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</row>
    <row r="211" spans="1:32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</row>
    <row r="212" spans="1:32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</row>
    <row r="213" spans="1:32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</row>
    <row r="214" spans="1:32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</row>
    <row r="215" spans="1:32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</row>
    <row r="216" spans="1:32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</row>
    <row r="217" spans="1:32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</row>
    <row r="218" spans="1:32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</row>
    <row r="219" spans="1:32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</row>
    <row r="220" spans="1:32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</row>
    <row r="221" spans="1:32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</row>
    <row r="222" spans="1:32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</row>
    <row r="223" spans="1:32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</row>
    <row r="224" spans="1:32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</row>
    <row r="225" spans="1:32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</row>
    <row r="226" spans="1:32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</row>
    <row r="227" spans="1:32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</row>
    <row r="228" spans="1:32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</row>
    <row r="229" spans="1:32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</row>
    <row r="230" spans="1:32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</row>
    <row r="231" spans="1:32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</row>
    <row r="232" spans="1:32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</row>
    <row r="233" spans="1:32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</row>
    <row r="234" spans="1:32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</row>
    <row r="235" spans="1:32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</row>
    <row r="236" spans="1:32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</row>
    <row r="237" spans="1:32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</row>
    <row r="238" spans="1:32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</row>
    <row r="239" spans="1:32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</row>
    <row r="240" spans="1:32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</row>
    <row r="241" spans="1:32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</row>
    <row r="242" spans="1:32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</row>
    <row r="243" spans="1:32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</row>
    <row r="244" spans="1:32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</row>
    <row r="245" spans="1:32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</row>
    <row r="246" spans="1:32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</row>
    <row r="247" spans="1:32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</row>
    <row r="248" spans="1:32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</row>
    <row r="249" spans="1:32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</row>
    <row r="250" spans="1:32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</row>
    <row r="251" spans="1:32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</row>
    <row r="252" spans="1:32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</row>
    <row r="253" spans="1:32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</row>
    <row r="254" spans="1:32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</row>
    <row r="255" spans="1:32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</row>
    <row r="256" spans="1:32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</row>
    <row r="257" spans="1:32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</row>
    <row r="258" spans="1:32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</row>
    <row r="259" spans="1:32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</row>
    <row r="260" spans="1:32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</row>
    <row r="261" spans="1:32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</row>
    <row r="262" spans="1:32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</row>
    <row r="263" spans="1:32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</row>
    <row r="264" spans="1:32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</row>
    <row r="265" spans="1:32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</row>
    <row r="266" spans="1:32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</row>
    <row r="267" spans="1:32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</row>
    <row r="268" spans="1:32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</row>
    <row r="269" spans="1:32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</row>
    <row r="270" spans="1:32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</row>
    <row r="271" spans="1:32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</row>
    <row r="272" spans="1:32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</row>
    <row r="273" spans="1:32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</row>
    <row r="274" spans="1:32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</row>
    <row r="275" spans="1:32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</row>
    <row r="276" spans="1:32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</row>
    <row r="277" spans="1:32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</row>
    <row r="278" spans="1:32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</row>
    <row r="279" spans="1:32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</row>
    <row r="280" spans="1:32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</row>
    <row r="281" spans="1:32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</row>
    <row r="282" spans="1:32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</row>
    <row r="283" spans="1:32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</row>
    <row r="284" spans="1:32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</row>
    <row r="285" spans="1:32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</row>
    <row r="286" spans="1:32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</row>
    <row r="287" spans="1:32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</row>
    <row r="288" spans="1:32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</row>
    <row r="289" spans="1:32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</row>
    <row r="290" spans="1:32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</row>
    <row r="291" spans="1:32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</row>
    <row r="292" spans="1:32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</row>
    <row r="293" spans="1:32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</row>
    <row r="294" spans="1:32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</row>
    <row r="295" spans="1:32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</row>
    <row r="296" spans="1:32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</row>
    <row r="297" spans="1:32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</row>
    <row r="298" spans="1:32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</row>
    <row r="299" spans="1:32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</row>
    <row r="300" spans="1:32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</row>
  </sheetData>
  <sortState xmlns:xlrd2="http://schemas.microsoft.com/office/spreadsheetml/2017/richdata2" ref="C52:C65">
    <sortCondition ref="C51"/>
  </sortState>
  <mergeCells count="4">
    <mergeCell ref="B2:E2"/>
    <mergeCell ref="B3:E3"/>
    <mergeCell ref="B41:E41"/>
    <mergeCell ref="B39:D39"/>
  </mergeCells>
  <dataValidations count="3">
    <dataValidation type="list" allowBlank="1" showInputMessage="1" showErrorMessage="1" sqref="D5 D10 D15 D20 D25 D30 D35" xr:uid="{00000000-0002-0000-0000-000000000000}">
      <formula1>$D$51:$D$120</formula1>
    </dataValidation>
    <dataValidation type="list" allowBlank="1" showInputMessage="1" showErrorMessage="1" sqref="D6:D7 D11:D12 D16:D17 D21:D22 D26:D27 D31:D32 D36:D37" xr:uid="{00000000-0002-0000-0000-000001000000}">
      <formula1>$C$51:$C$85</formula1>
    </dataValidation>
    <dataValidation type="list" allowBlank="1" showInputMessage="1" showErrorMessage="1" sqref="D8 D13 D18 D23 D28 D33 D38" xr:uid="{00000000-0002-0000-0000-000002000000}">
      <formula1>$E$51:$E$85</formula1>
    </dataValidation>
  </dataValidations>
  <pageMargins left="0.70866141732283472" right="0.70866141732283472" top="0.74803149606299213" bottom="0" header="0.31496062992125984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02Names"/>
  <dimension ref="A1:D114"/>
  <sheetViews>
    <sheetView showGridLines="0" workbookViewId="0">
      <pane ySplit="1" topLeftCell="A2" activePane="bottomLeft" state="frozen"/>
      <selection pane="bottomLeft" activeCell="B23" sqref="B23"/>
    </sheetView>
  </sheetViews>
  <sheetFormatPr baseColWidth="10" defaultColWidth="8.83203125" defaultRowHeight="13" x14ac:dyDescent="0.15"/>
  <cols>
    <col min="1" max="2" width="25.83203125" customWidth="1"/>
    <col min="3" max="4" width="25.83203125" style="1" customWidth="1"/>
  </cols>
  <sheetData>
    <row r="1" spans="1:4" ht="18" x14ac:dyDescent="0.2">
      <c r="A1" s="2" t="s">
        <v>15</v>
      </c>
      <c r="B1" s="2" t="s">
        <v>16</v>
      </c>
      <c r="C1" s="3" t="s">
        <v>17</v>
      </c>
      <c r="D1" s="3" t="s">
        <v>18</v>
      </c>
    </row>
    <row r="2" spans="1:4" x14ac:dyDescent="0.15">
      <c r="A2" s="40" t="s">
        <v>2</v>
      </c>
      <c r="B2" s="40" t="s">
        <v>248</v>
      </c>
      <c r="C2" s="41" t="s">
        <v>249</v>
      </c>
      <c r="D2" s="41" t="s">
        <v>250</v>
      </c>
    </row>
    <row r="3" spans="1:4" x14ac:dyDescent="0.15">
      <c r="A3" t="s">
        <v>0</v>
      </c>
      <c r="B3" t="s">
        <v>277</v>
      </c>
      <c r="C3" s="1" t="s">
        <v>278</v>
      </c>
    </row>
    <row r="4" spans="1:4" x14ac:dyDescent="0.15">
      <c r="A4" s="42" t="s">
        <v>2</v>
      </c>
      <c r="B4" s="42" t="s">
        <v>50</v>
      </c>
      <c r="C4" s="43" t="s">
        <v>105</v>
      </c>
      <c r="D4" s="43" t="s">
        <v>104</v>
      </c>
    </row>
    <row r="5" spans="1:4" x14ac:dyDescent="0.15">
      <c r="A5" s="44" t="s">
        <v>2</v>
      </c>
      <c r="B5" s="42" t="s">
        <v>72</v>
      </c>
      <c r="C5" s="43" t="s">
        <v>106</v>
      </c>
      <c r="D5" s="43" t="s">
        <v>108</v>
      </c>
    </row>
    <row r="6" spans="1:4" x14ac:dyDescent="0.15">
      <c r="A6" t="s">
        <v>0</v>
      </c>
      <c r="B6" t="s">
        <v>281</v>
      </c>
      <c r="C6" s="1" t="s">
        <v>282</v>
      </c>
    </row>
    <row r="7" spans="1:4" x14ac:dyDescent="0.15">
      <c r="A7" s="42" t="s">
        <v>0</v>
      </c>
      <c r="B7" s="42" t="s">
        <v>79</v>
      </c>
      <c r="C7" s="43" t="s">
        <v>107</v>
      </c>
      <c r="D7" s="43"/>
    </row>
    <row r="8" spans="1:4" x14ac:dyDescent="0.15">
      <c r="A8" t="s">
        <v>0</v>
      </c>
      <c r="B8" t="s">
        <v>269</v>
      </c>
      <c r="C8" s="1" t="s">
        <v>270</v>
      </c>
    </row>
    <row r="9" spans="1:4" x14ac:dyDescent="0.15">
      <c r="A9" t="s">
        <v>2</v>
      </c>
      <c r="B9" t="s">
        <v>266</v>
      </c>
      <c r="C9" s="1" t="s">
        <v>267</v>
      </c>
    </row>
    <row r="10" spans="1:4" x14ac:dyDescent="0.15">
      <c r="A10" t="s">
        <v>0</v>
      </c>
      <c r="B10" t="s">
        <v>287</v>
      </c>
      <c r="C10" s="1" t="s">
        <v>288</v>
      </c>
    </row>
    <row r="11" spans="1:4" x14ac:dyDescent="0.15">
      <c r="A11" t="s">
        <v>0</v>
      </c>
      <c r="B11" t="s">
        <v>287</v>
      </c>
      <c r="C11" s="1" t="s">
        <v>288</v>
      </c>
    </row>
    <row r="12" spans="1:4" x14ac:dyDescent="0.15">
      <c r="A12" s="44" t="s">
        <v>2</v>
      </c>
      <c r="B12" s="42" t="s">
        <v>43</v>
      </c>
      <c r="C12" s="43" t="s">
        <v>233</v>
      </c>
      <c r="D12" s="43" t="s">
        <v>230</v>
      </c>
    </row>
    <row r="13" spans="1:4" x14ac:dyDescent="0.15">
      <c r="A13" s="44" t="s">
        <v>2</v>
      </c>
      <c r="B13" s="42" t="s">
        <v>53</v>
      </c>
      <c r="C13" s="43" t="s">
        <v>109</v>
      </c>
      <c r="D13" s="43" t="s">
        <v>104</v>
      </c>
    </row>
    <row r="14" spans="1:4" x14ac:dyDescent="0.15">
      <c r="A14" t="s">
        <v>19</v>
      </c>
      <c r="B14" t="s">
        <v>258</v>
      </c>
      <c r="C14" s="1" t="s">
        <v>259</v>
      </c>
    </row>
    <row r="15" spans="1:4" x14ac:dyDescent="0.15">
      <c r="A15" t="s">
        <v>2</v>
      </c>
      <c r="B15" t="s">
        <v>275</v>
      </c>
      <c r="C15" s="1" t="s">
        <v>276</v>
      </c>
    </row>
    <row r="16" spans="1:4" x14ac:dyDescent="0.15">
      <c r="A16" s="42" t="s">
        <v>0</v>
      </c>
      <c r="B16" s="42" t="s">
        <v>80</v>
      </c>
      <c r="C16" s="43" t="s">
        <v>110</v>
      </c>
      <c r="D16" s="43" t="s">
        <v>104</v>
      </c>
    </row>
    <row r="17" spans="1:4" x14ac:dyDescent="0.15">
      <c r="A17" s="42" t="s">
        <v>2</v>
      </c>
      <c r="B17" s="42" t="s">
        <v>55</v>
      </c>
      <c r="C17" s="43" t="s">
        <v>111</v>
      </c>
      <c r="D17" s="43"/>
    </row>
    <row r="18" spans="1:4" x14ac:dyDescent="0.15">
      <c r="A18" s="44" t="s">
        <v>0</v>
      </c>
      <c r="B18" s="42" t="s">
        <v>42</v>
      </c>
      <c r="C18" s="43" t="s">
        <v>236</v>
      </c>
      <c r="D18" s="43" t="s">
        <v>104</v>
      </c>
    </row>
    <row r="19" spans="1:4" x14ac:dyDescent="0.15">
      <c r="A19" s="44" t="s">
        <v>0</v>
      </c>
      <c r="B19" s="42" t="s">
        <v>65</v>
      </c>
      <c r="C19" s="43" t="s">
        <v>112</v>
      </c>
      <c r="D19" s="43"/>
    </row>
    <row r="20" spans="1:4" x14ac:dyDescent="0.15">
      <c r="A20" s="44" t="s">
        <v>2</v>
      </c>
      <c r="B20" s="42" t="s">
        <v>88</v>
      </c>
      <c r="C20" s="43" t="s">
        <v>113</v>
      </c>
      <c r="D20" s="43" t="s">
        <v>114</v>
      </c>
    </row>
    <row r="21" spans="1:4" x14ac:dyDescent="0.15">
      <c r="A21" s="44" t="s">
        <v>19</v>
      </c>
      <c r="B21" s="42" t="s">
        <v>74</v>
      </c>
      <c r="C21" s="43" t="s">
        <v>115</v>
      </c>
      <c r="D21" s="43" t="s">
        <v>116</v>
      </c>
    </row>
    <row r="22" spans="1:4" x14ac:dyDescent="0.15">
      <c r="A22" s="44" t="s">
        <v>0</v>
      </c>
      <c r="B22" s="42" t="s">
        <v>69</v>
      </c>
      <c r="C22" s="43" t="s">
        <v>117</v>
      </c>
      <c r="D22" s="43" t="s">
        <v>118</v>
      </c>
    </row>
    <row r="23" spans="1:4" x14ac:dyDescent="0.15">
      <c r="A23" s="44" t="s">
        <v>2</v>
      </c>
      <c r="B23" s="42" t="s">
        <v>303</v>
      </c>
      <c r="C23" s="43" t="s">
        <v>304</v>
      </c>
      <c r="D23" s="43"/>
    </row>
    <row r="24" spans="1:4" x14ac:dyDescent="0.15">
      <c r="A24" s="44" t="s">
        <v>0</v>
      </c>
      <c r="B24" s="42" t="s">
        <v>64</v>
      </c>
      <c r="C24" s="43" t="s">
        <v>120</v>
      </c>
      <c r="D24" s="43"/>
    </row>
    <row r="25" spans="1:4" x14ac:dyDescent="0.15">
      <c r="A25" s="44" t="s">
        <v>19</v>
      </c>
      <c r="B25" s="42" t="s">
        <v>91</v>
      </c>
      <c r="C25" s="43" t="s">
        <v>121</v>
      </c>
      <c r="D25" s="43"/>
    </row>
    <row r="26" spans="1:4" x14ac:dyDescent="0.15">
      <c r="A26" s="44" t="s">
        <v>2</v>
      </c>
      <c r="B26" s="42" t="s">
        <v>34</v>
      </c>
      <c r="C26" s="43" t="s">
        <v>122</v>
      </c>
      <c r="D26" s="43"/>
    </row>
    <row r="27" spans="1:4" x14ac:dyDescent="0.15">
      <c r="A27" t="s">
        <v>2</v>
      </c>
      <c r="B27" t="s">
        <v>279</v>
      </c>
      <c r="C27" s="1" t="s">
        <v>280</v>
      </c>
    </row>
    <row r="28" spans="1:4" x14ac:dyDescent="0.15">
      <c r="A28" s="44" t="s">
        <v>19</v>
      </c>
      <c r="B28" s="42" t="s">
        <v>51</v>
      </c>
      <c r="C28" s="43" t="s">
        <v>123</v>
      </c>
      <c r="D28" s="43"/>
    </row>
    <row r="29" spans="1:4" x14ac:dyDescent="0.15">
      <c r="A29" s="42" t="s">
        <v>2</v>
      </c>
      <c r="B29" s="42" t="s">
        <v>41</v>
      </c>
      <c r="C29" s="43" t="s">
        <v>124</v>
      </c>
      <c r="D29" s="43" t="s">
        <v>125</v>
      </c>
    </row>
    <row r="30" spans="1:4" x14ac:dyDescent="0.15">
      <c r="A30" s="44" t="s">
        <v>19</v>
      </c>
      <c r="B30" s="42" t="s">
        <v>54</v>
      </c>
      <c r="C30" s="43" t="s">
        <v>126</v>
      </c>
      <c r="D30" s="43"/>
    </row>
    <row r="31" spans="1:4" x14ac:dyDescent="0.15">
      <c r="A31" t="s">
        <v>19</v>
      </c>
      <c r="B31" t="s">
        <v>262</v>
      </c>
      <c r="C31" s="1" t="s">
        <v>263</v>
      </c>
    </row>
    <row r="32" spans="1:4" x14ac:dyDescent="0.15">
      <c r="A32" s="44" t="s">
        <v>2</v>
      </c>
      <c r="B32" s="42" t="s">
        <v>26</v>
      </c>
      <c r="C32" s="43" t="s">
        <v>128</v>
      </c>
      <c r="D32" s="43" t="s">
        <v>129</v>
      </c>
    </row>
    <row r="33" spans="1:4" x14ac:dyDescent="0.15">
      <c r="A33" s="44" t="s">
        <v>19</v>
      </c>
      <c r="B33" s="42" t="s">
        <v>56</v>
      </c>
      <c r="C33" s="43" t="s">
        <v>130</v>
      </c>
      <c r="D33" s="43"/>
    </row>
    <row r="34" spans="1:4" x14ac:dyDescent="0.15">
      <c r="A34" t="s">
        <v>0</v>
      </c>
      <c r="B34" t="s">
        <v>293</v>
      </c>
      <c r="C34" s="1" t="s">
        <v>294</v>
      </c>
    </row>
    <row r="35" spans="1:4" x14ac:dyDescent="0.15">
      <c r="A35" t="s">
        <v>0</v>
      </c>
      <c r="B35" t="s">
        <v>293</v>
      </c>
      <c r="C35" s="1" t="s">
        <v>294</v>
      </c>
    </row>
    <row r="36" spans="1:4" x14ac:dyDescent="0.15">
      <c r="A36" s="44" t="s">
        <v>2</v>
      </c>
      <c r="B36" s="42" t="s">
        <v>246</v>
      </c>
      <c r="C36" s="43" t="s">
        <v>247</v>
      </c>
      <c r="D36" s="43" t="s">
        <v>3</v>
      </c>
    </row>
    <row r="37" spans="1:4" x14ac:dyDescent="0.15">
      <c r="A37" s="42" t="s">
        <v>0</v>
      </c>
      <c r="B37" s="42" t="s">
        <v>256</v>
      </c>
      <c r="C37" s="45" t="s">
        <v>257</v>
      </c>
      <c r="D37" s="45"/>
    </row>
    <row r="38" spans="1:4" x14ac:dyDescent="0.15">
      <c r="A38" s="44" t="s">
        <v>0</v>
      </c>
      <c r="B38" s="42" t="s">
        <v>83</v>
      </c>
      <c r="C38" s="43" t="s">
        <v>131</v>
      </c>
      <c r="D38" s="43"/>
    </row>
    <row r="39" spans="1:4" x14ac:dyDescent="0.15">
      <c r="A39" s="44" t="s">
        <v>19</v>
      </c>
      <c r="B39" s="42" t="s">
        <v>242</v>
      </c>
      <c r="C39" s="43" t="s">
        <v>243</v>
      </c>
      <c r="D39" s="43" t="s">
        <v>132</v>
      </c>
    </row>
    <row r="40" spans="1:4" x14ac:dyDescent="0.15">
      <c r="A40" s="44" t="s">
        <v>0</v>
      </c>
      <c r="B40" s="42" t="s">
        <v>40</v>
      </c>
      <c r="C40" s="43" t="s">
        <v>133</v>
      </c>
      <c r="D40" s="43"/>
    </row>
    <row r="41" spans="1:4" x14ac:dyDescent="0.15">
      <c r="A41" s="42" t="s">
        <v>0</v>
      </c>
      <c r="B41" s="42" t="s">
        <v>295</v>
      </c>
      <c r="C41" s="43" t="s">
        <v>134</v>
      </c>
      <c r="D41" s="43"/>
    </row>
    <row r="42" spans="1:4" x14ac:dyDescent="0.15">
      <c r="A42" t="s">
        <v>0</v>
      </c>
      <c r="B42" t="s">
        <v>264</v>
      </c>
      <c r="C42" s="1" t="s">
        <v>265</v>
      </c>
    </row>
    <row r="43" spans="1:4" x14ac:dyDescent="0.15">
      <c r="A43" s="44" t="s">
        <v>0</v>
      </c>
      <c r="B43" s="42" t="s">
        <v>94</v>
      </c>
      <c r="C43" s="43" t="s">
        <v>135</v>
      </c>
      <c r="D43" s="43" t="s">
        <v>136</v>
      </c>
    </row>
    <row r="44" spans="1:4" x14ac:dyDescent="0.15">
      <c r="A44" s="44" t="s">
        <v>0</v>
      </c>
      <c r="B44" s="42" t="s">
        <v>78</v>
      </c>
      <c r="C44" s="43" t="s">
        <v>137</v>
      </c>
      <c r="D44" s="43" t="s">
        <v>138</v>
      </c>
    </row>
    <row r="45" spans="1:4" x14ac:dyDescent="0.15">
      <c r="A45" s="44" t="s">
        <v>0</v>
      </c>
      <c r="B45" s="42" t="s">
        <v>23</v>
      </c>
      <c r="C45" s="43" t="s">
        <v>139</v>
      </c>
      <c r="D45" s="43" t="s">
        <v>104</v>
      </c>
    </row>
    <row r="46" spans="1:4" x14ac:dyDescent="0.15">
      <c r="A46" s="44" t="s">
        <v>19</v>
      </c>
      <c r="B46" s="42" t="s">
        <v>47</v>
      </c>
      <c r="C46" s="43" t="s">
        <v>140</v>
      </c>
      <c r="D46" s="43" t="s">
        <v>141</v>
      </c>
    </row>
    <row r="47" spans="1:4" x14ac:dyDescent="0.15">
      <c r="A47" s="44" t="s">
        <v>19</v>
      </c>
      <c r="B47" s="42" t="s">
        <v>96</v>
      </c>
      <c r="C47" s="43" t="s">
        <v>142</v>
      </c>
      <c r="D47" s="43"/>
    </row>
    <row r="48" spans="1:4" x14ac:dyDescent="0.15">
      <c r="A48" s="44" t="s">
        <v>19</v>
      </c>
      <c r="B48" s="42" t="s">
        <v>39</v>
      </c>
      <c r="C48" s="43" t="s">
        <v>143</v>
      </c>
      <c r="D48" s="43" t="s">
        <v>144</v>
      </c>
    </row>
    <row r="49" spans="1:4" x14ac:dyDescent="0.15">
      <c r="A49" s="44" t="s">
        <v>0</v>
      </c>
      <c r="B49" s="42" t="s">
        <v>302</v>
      </c>
      <c r="C49" s="43" t="s">
        <v>231</v>
      </c>
      <c r="D49" s="43" t="s">
        <v>232</v>
      </c>
    </row>
    <row r="50" spans="1:4" x14ac:dyDescent="0.15">
      <c r="A50" s="44" t="s">
        <v>0</v>
      </c>
      <c r="B50" s="42" t="s">
        <v>100</v>
      </c>
      <c r="C50" s="43" t="s">
        <v>146</v>
      </c>
      <c r="D50" s="43"/>
    </row>
    <row r="51" spans="1:4" x14ac:dyDescent="0.15">
      <c r="A51" s="44" t="s">
        <v>19</v>
      </c>
      <c r="B51" s="42" t="s">
        <v>296</v>
      </c>
      <c r="C51" s="43" t="s">
        <v>298</v>
      </c>
      <c r="D51" s="43" t="s">
        <v>104</v>
      </c>
    </row>
    <row r="52" spans="1:4" x14ac:dyDescent="0.15">
      <c r="A52" s="44" t="s">
        <v>2</v>
      </c>
      <c r="B52" s="42" t="s">
        <v>28</v>
      </c>
      <c r="C52" s="43" t="s">
        <v>147</v>
      </c>
      <c r="D52" s="43" t="s">
        <v>148</v>
      </c>
    </row>
    <row r="53" spans="1:4" x14ac:dyDescent="0.15">
      <c r="A53" s="44" t="s">
        <v>0</v>
      </c>
      <c r="B53" s="42" t="s">
        <v>33</v>
      </c>
      <c r="C53" s="43" t="s">
        <v>149</v>
      </c>
      <c r="D53" s="43"/>
    </row>
    <row r="54" spans="1:4" x14ac:dyDescent="0.15">
      <c r="A54" s="44" t="s">
        <v>2</v>
      </c>
      <c r="B54" s="42" t="s">
        <v>89</v>
      </c>
      <c r="C54" s="43" t="s">
        <v>150</v>
      </c>
      <c r="D54" s="43"/>
    </row>
    <row r="55" spans="1:4" x14ac:dyDescent="0.15">
      <c r="A55" s="42" t="s">
        <v>2</v>
      </c>
      <c r="B55" s="42" t="s">
        <v>251</v>
      </c>
      <c r="C55" s="43" t="s">
        <v>252</v>
      </c>
      <c r="D55" s="43" t="s">
        <v>220</v>
      </c>
    </row>
    <row r="56" spans="1:4" x14ac:dyDescent="0.15">
      <c r="A56" s="44" t="s">
        <v>0</v>
      </c>
      <c r="B56" s="42" t="s">
        <v>90</v>
      </c>
      <c r="C56" s="43" t="s">
        <v>235</v>
      </c>
      <c r="D56" s="43" t="s">
        <v>104</v>
      </c>
    </row>
    <row r="57" spans="1:4" x14ac:dyDescent="0.15">
      <c r="A57" t="s">
        <v>0</v>
      </c>
      <c r="B57" t="s">
        <v>299</v>
      </c>
      <c r="C57" s="1" t="s">
        <v>300</v>
      </c>
    </row>
    <row r="58" spans="1:4" x14ac:dyDescent="0.15">
      <c r="A58" s="44" t="s">
        <v>0</v>
      </c>
      <c r="B58" s="42" t="s">
        <v>244</v>
      </c>
      <c r="C58" s="43" t="s">
        <v>245</v>
      </c>
      <c r="D58" s="43" t="s">
        <v>127</v>
      </c>
    </row>
    <row r="59" spans="1:4" x14ac:dyDescent="0.15">
      <c r="A59" s="42" t="s">
        <v>2</v>
      </c>
      <c r="B59" s="42" t="s">
        <v>36</v>
      </c>
      <c r="C59" s="43" t="s">
        <v>151</v>
      </c>
      <c r="D59" s="43"/>
    </row>
    <row r="60" spans="1:4" x14ac:dyDescent="0.15">
      <c r="A60" t="s">
        <v>19</v>
      </c>
      <c r="B60" t="s">
        <v>285</v>
      </c>
      <c r="C60" s="1" t="s">
        <v>286</v>
      </c>
    </row>
    <row r="61" spans="1:4" x14ac:dyDescent="0.15">
      <c r="A61" s="44" t="s">
        <v>19</v>
      </c>
      <c r="B61" s="42" t="s">
        <v>86</v>
      </c>
      <c r="C61" s="43" t="s">
        <v>153</v>
      </c>
      <c r="D61" s="43" t="s">
        <v>297</v>
      </c>
    </row>
    <row r="62" spans="1:4" x14ac:dyDescent="0.15">
      <c r="A62" s="44" t="s">
        <v>2</v>
      </c>
      <c r="B62" s="42" t="s">
        <v>25</v>
      </c>
      <c r="C62" s="43" t="s">
        <v>154</v>
      </c>
      <c r="D62" s="43" t="s">
        <v>155</v>
      </c>
    </row>
    <row r="63" spans="1:4" x14ac:dyDescent="0.15">
      <c r="A63" s="44" t="s">
        <v>19</v>
      </c>
      <c r="B63" s="42" t="s">
        <v>45</v>
      </c>
      <c r="C63" s="43" t="s">
        <v>156</v>
      </c>
      <c r="D63" s="43" t="s">
        <v>157</v>
      </c>
    </row>
    <row r="64" spans="1:4" x14ac:dyDescent="0.15">
      <c r="A64" s="42" t="s">
        <v>2</v>
      </c>
      <c r="B64" s="42" t="s">
        <v>29</v>
      </c>
      <c r="C64" s="43" t="s">
        <v>158</v>
      </c>
      <c r="D64" s="43" t="s">
        <v>159</v>
      </c>
    </row>
    <row r="65" spans="1:4" x14ac:dyDescent="0.15">
      <c r="A65" s="44" t="s">
        <v>0</v>
      </c>
      <c r="B65" s="42" t="s">
        <v>253</v>
      </c>
      <c r="C65" s="43" t="s">
        <v>254</v>
      </c>
      <c r="D65" s="43" t="s">
        <v>219</v>
      </c>
    </row>
    <row r="66" spans="1:4" x14ac:dyDescent="0.15">
      <c r="A66" s="44" t="s">
        <v>19</v>
      </c>
      <c r="B66" s="42" t="s">
        <v>37</v>
      </c>
      <c r="C66" s="43" t="s">
        <v>160</v>
      </c>
      <c r="D66" s="43" t="s">
        <v>161</v>
      </c>
    </row>
    <row r="67" spans="1:4" x14ac:dyDescent="0.15">
      <c r="A67" s="44" t="s">
        <v>0</v>
      </c>
      <c r="B67" s="42" t="s">
        <v>30</v>
      </c>
      <c r="C67" s="43" t="s">
        <v>162</v>
      </c>
      <c r="D67" s="43" t="s">
        <v>163</v>
      </c>
    </row>
    <row r="68" spans="1:4" x14ac:dyDescent="0.15">
      <c r="A68" s="44" t="s">
        <v>2</v>
      </c>
      <c r="B68" s="42" t="s">
        <v>24</v>
      </c>
      <c r="C68" s="43" t="s">
        <v>164</v>
      </c>
      <c r="D68" s="43"/>
    </row>
    <row r="69" spans="1:4" x14ac:dyDescent="0.15">
      <c r="A69" s="44" t="s">
        <v>19</v>
      </c>
      <c r="B69" s="42" t="s">
        <v>48</v>
      </c>
      <c r="C69" s="43" t="s">
        <v>165</v>
      </c>
      <c r="D69" s="43" t="s">
        <v>166</v>
      </c>
    </row>
    <row r="70" spans="1:4" x14ac:dyDescent="0.15">
      <c r="A70" s="44" t="s">
        <v>0</v>
      </c>
      <c r="B70" s="42" t="s">
        <v>62</v>
      </c>
      <c r="C70" s="43" t="s">
        <v>167</v>
      </c>
      <c r="D70" s="43" t="s">
        <v>168</v>
      </c>
    </row>
    <row r="71" spans="1:4" x14ac:dyDescent="0.15">
      <c r="A71" s="44" t="s">
        <v>19</v>
      </c>
      <c r="B71" s="42" t="s">
        <v>67</v>
      </c>
      <c r="C71" s="43" t="s">
        <v>169</v>
      </c>
      <c r="D71" s="43"/>
    </row>
    <row r="72" spans="1:4" x14ac:dyDescent="0.15">
      <c r="A72" s="44" t="s">
        <v>0</v>
      </c>
      <c r="B72" s="42" t="s">
        <v>52</v>
      </c>
      <c r="C72" s="43" t="s">
        <v>170</v>
      </c>
      <c r="D72" s="43"/>
    </row>
    <row r="73" spans="1:4" x14ac:dyDescent="0.15">
      <c r="A73" s="42" t="s">
        <v>0</v>
      </c>
      <c r="B73" s="42" t="s">
        <v>68</v>
      </c>
      <c r="C73" s="43" t="s">
        <v>171</v>
      </c>
      <c r="D73" s="43" t="s">
        <v>172</v>
      </c>
    </row>
    <row r="74" spans="1:4" x14ac:dyDescent="0.15">
      <c r="A74" t="s">
        <v>0</v>
      </c>
      <c r="B74" t="s">
        <v>260</v>
      </c>
      <c r="C74" s="1" t="s">
        <v>261</v>
      </c>
    </row>
    <row r="75" spans="1:4" x14ac:dyDescent="0.15">
      <c r="A75" s="44" t="s">
        <v>0</v>
      </c>
      <c r="B75" s="42" t="s">
        <v>75</v>
      </c>
      <c r="C75" s="43" t="s">
        <v>234</v>
      </c>
      <c r="D75" s="43" t="s">
        <v>104</v>
      </c>
    </row>
    <row r="76" spans="1:4" x14ac:dyDescent="0.15">
      <c r="A76" t="s">
        <v>0</v>
      </c>
      <c r="B76" t="s">
        <v>271</v>
      </c>
      <c r="C76" s="1" t="s">
        <v>272</v>
      </c>
    </row>
    <row r="77" spans="1:4" x14ac:dyDescent="0.15">
      <c r="A77" s="44" t="s">
        <v>0</v>
      </c>
      <c r="B77" s="42" t="s">
        <v>84</v>
      </c>
      <c r="C77" s="43" t="s">
        <v>173</v>
      </c>
      <c r="D77" s="43" t="s">
        <v>104</v>
      </c>
    </row>
    <row r="78" spans="1:4" x14ac:dyDescent="0.15">
      <c r="A78" s="44" t="s">
        <v>0</v>
      </c>
      <c r="B78" s="42" t="s">
        <v>57</v>
      </c>
      <c r="C78" s="43" t="s">
        <v>174</v>
      </c>
      <c r="D78" s="43"/>
    </row>
    <row r="79" spans="1:4" x14ac:dyDescent="0.15">
      <c r="A79" s="44" t="s">
        <v>19</v>
      </c>
      <c r="B79" s="42" t="s">
        <v>49</v>
      </c>
      <c r="C79" s="43" t="s">
        <v>175</v>
      </c>
      <c r="D79" s="43" t="s">
        <v>176</v>
      </c>
    </row>
    <row r="80" spans="1:4" x14ac:dyDescent="0.15">
      <c r="A80" s="44" t="s">
        <v>19</v>
      </c>
      <c r="B80" s="42" t="s">
        <v>81</v>
      </c>
      <c r="C80" s="43" t="s">
        <v>177</v>
      </c>
      <c r="D80" s="43" t="s">
        <v>178</v>
      </c>
    </row>
    <row r="81" spans="1:4" x14ac:dyDescent="0.15">
      <c r="A81" t="s">
        <v>0</v>
      </c>
      <c r="B81" t="s">
        <v>291</v>
      </c>
      <c r="C81" s="1" t="s">
        <v>292</v>
      </c>
    </row>
    <row r="82" spans="1:4" x14ac:dyDescent="0.15">
      <c r="A82" t="s">
        <v>0</v>
      </c>
      <c r="B82" t="s">
        <v>291</v>
      </c>
      <c r="C82" s="1" t="s">
        <v>292</v>
      </c>
    </row>
    <row r="83" spans="1:4" x14ac:dyDescent="0.15">
      <c r="A83" s="44" t="s">
        <v>19</v>
      </c>
      <c r="B83" s="42" t="s">
        <v>85</v>
      </c>
      <c r="C83" s="43" t="s">
        <v>179</v>
      </c>
      <c r="D83" s="43" t="s">
        <v>104</v>
      </c>
    </row>
    <row r="84" spans="1:4" x14ac:dyDescent="0.15">
      <c r="A84" s="44" t="s">
        <v>19</v>
      </c>
      <c r="B84" s="42" t="s">
        <v>95</v>
      </c>
      <c r="C84" s="43" t="s">
        <v>180</v>
      </c>
      <c r="D84" s="43"/>
    </row>
    <row r="85" spans="1:4" x14ac:dyDescent="0.15">
      <c r="A85" t="s">
        <v>0</v>
      </c>
      <c r="B85" t="s">
        <v>283</v>
      </c>
      <c r="C85" s="1" t="s">
        <v>284</v>
      </c>
    </row>
    <row r="86" spans="1:4" x14ac:dyDescent="0.15">
      <c r="A86" s="44" t="s">
        <v>0</v>
      </c>
      <c r="B86" s="42" t="s">
        <v>44</v>
      </c>
      <c r="C86" s="43" t="s">
        <v>181</v>
      </c>
      <c r="D86" s="43" t="s">
        <v>182</v>
      </c>
    </row>
    <row r="87" spans="1:4" x14ac:dyDescent="0.15">
      <c r="A87" t="s">
        <v>19</v>
      </c>
      <c r="B87" t="s">
        <v>301</v>
      </c>
      <c r="C87" s="1" t="s">
        <v>268</v>
      </c>
    </row>
    <row r="88" spans="1:4" x14ac:dyDescent="0.15">
      <c r="A88" s="44" t="s">
        <v>237</v>
      </c>
      <c r="B88" s="42" t="s">
        <v>238</v>
      </c>
      <c r="C88" s="43" t="s">
        <v>239</v>
      </c>
      <c r="D88" s="43" t="s">
        <v>3</v>
      </c>
    </row>
    <row r="89" spans="1:4" x14ac:dyDescent="0.15">
      <c r="A89" s="44" t="s">
        <v>0</v>
      </c>
      <c r="B89" s="42" t="s">
        <v>63</v>
      </c>
      <c r="C89" s="43" t="s">
        <v>183</v>
      </c>
      <c r="D89" s="43" t="s">
        <v>184</v>
      </c>
    </row>
    <row r="90" spans="1:4" x14ac:dyDescent="0.15">
      <c r="A90" s="44" t="s">
        <v>19</v>
      </c>
      <c r="B90" s="42" t="s">
        <v>35</v>
      </c>
      <c r="C90" s="43" t="s">
        <v>185</v>
      </c>
      <c r="D90" s="43" t="s">
        <v>186</v>
      </c>
    </row>
    <row r="91" spans="1:4" x14ac:dyDescent="0.15">
      <c r="A91" s="44" t="s">
        <v>2</v>
      </c>
      <c r="B91" s="42" t="s">
        <v>58</v>
      </c>
      <c r="C91" s="43" t="s">
        <v>187</v>
      </c>
      <c r="D91" s="43" t="s">
        <v>188</v>
      </c>
    </row>
    <row r="92" spans="1:4" x14ac:dyDescent="0.15">
      <c r="A92" s="44" t="s">
        <v>19</v>
      </c>
      <c r="B92" s="42" t="s">
        <v>92</v>
      </c>
      <c r="C92" s="43" t="s">
        <v>189</v>
      </c>
      <c r="D92" s="43" t="s">
        <v>190</v>
      </c>
    </row>
    <row r="93" spans="1:4" x14ac:dyDescent="0.15">
      <c r="A93" s="42" t="s">
        <v>2</v>
      </c>
      <c r="B93" s="42" t="s">
        <v>31</v>
      </c>
      <c r="C93" s="43" t="s">
        <v>191</v>
      </c>
      <c r="D93" s="43" t="s">
        <v>192</v>
      </c>
    </row>
    <row r="94" spans="1:4" x14ac:dyDescent="0.15">
      <c r="A94" s="44" t="s">
        <v>19</v>
      </c>
      <c r="B94" s="42" t="s">
        <v>71</v>
      </c>
      <c r="C94" s="43" t="s">
        <v>193</v>
      </c>
      <c r="D94" s="43"/>
    </row>
    <row r="95" spans="1:4" x14ac:dyDescent="0.15">
      <c r="A95" s="44" t="s">
        <v>0</v>
      </c>
      <c r="B95" s="42" t="s">
        <v>73</v>
      </c>
      <c r="C95" s="43" t="s">
        <v>194</v>
      </c>
      <c r="D95" s="43"/>
    </row>
    <row r="96" spans="1:4" x14ac:dyDescent="0.15">
      <c r="A96" s="42" t="s">
        <v>2</v>
      </c>
      <c r="B96" s="42" t="s">
        <v>46</v>
      </c>
      <c r="C96" s="43" t="s">
        <v>195</v>
      </c>
      <c r="D96" s="43"/>
    </row>
    <row r="97" spans="1:4" x14ac:dyDescent="0.15">
      <c r="A97" s="44" t="s">
        <v>19</v>
      </c>
      <c r="B97" s="42" t="s">
        <v>27</v>
      </c>
      <c r="C97" s="43" t="s">
        <v>196</v>
      </c>
      <c r="D97" s="43" t="s">
        <v>197</v>
      </c>
    </row>
    <row r="98" spans="1:4" x14ac:dyDescent="0.15">
      <c r="A98" s="44" t="s">
        <v>0</v>
      </c>
      <c r="B98" s="42" t="s">
        <v>4</v>
      </c>
      <c r="C98" s="43" t="s">
        <v>198</v>
      </c>
      <c r="D98" s="43" t="s">
        <v>199</v>
      </c>
    </row>
    <row r="99" spans="1:4" x14ac:dyDescent="0.15">
      <c r="A99" s="44" t="s">
        <v>19</v>
      </c>
      <c r="B99" s="42" t="s">
        <v>82</v>
      </c>
      <c r="C99" s="43" t="s">
        <v>200</v>
      </c>
      <c r="D99" s="43" t="s">
        <v>178</v>
      </c>
    </row>
    <row r="100" spans="1:4" x14ac:dyDescent="0.15">
      <c r="A100" s="44" t="s">
        <v>0</v>
      </c>
      <c r="B100" s="42" t="s">
        <v>99</v>
      </c>
      <c r="C100" s="43" t="s">
        <v>202</v>
      </c>
      <c r="D100" s="43" t="s">
        <v>201</v>
      </c>
    </row>
    <row r="101" spans="1:4" x14ac:dyDescent="0.15">
      <c r="A101" s="42" t="s">
        <v>0</v>
      </c>
      <c r="B101" s="42" t="s">
        <v>76</v>
      </c>
      <c r="C101" s="43" t="s">
        <v>203</v>
      </c>
      <c r="D101" s="43" t="s">
        <v>204</v>
      </c>
    </row>
    <row r="102" spans="1:4" x14ac:dyDescent="0.15">
      <c r="A102" s="44" t="s">
        <v>0</v>
      </c>
      <c r="B102" s="42" t="s">
        <v>97</v>
      </c>
      <c r="C102" s="43" t="s">
        <v>205</v>
      </c>
      <c r="D102" s="43"/>
    </row>
    <row r="103" spans="1:4" x14ac:dyDescent="0.15">
      <c r="A103" s="44" t="s">
        <v>0</v>
      </c>
      <c r="B103" s="42" t="s">
        <v>38</v>
      </c>
      <c r="C103" s="43" t="s">
        <v>206</v>
      </c>
      <c r="D103" s="43" t="s">
        <v>207</v>
      </c>
    </row>
    <row r="104" spans="1:4" x14ac:dyDescent="0.15">
      <c r="A104" s="44" t="s">
        <v>0</v>
      </c>
      <c r="B104" s="42" t="s">
        <v>93</v>
      </c>
      <c r="C104" s="43" t="s">
        <v>208</v>
      </c>
      <c r="D104" s="43"/>
    </row>
    <row r="105" spans="1:4" x14ac:dyDescent="0.15">
      <c r="A105" s="44" t="s">
        <v>19</v>
      </c>
      <c r="B105" s="42" t="s">
        <v>32</v>
      </c>
      <c r="C105" s="43" t="s">
        <v>209</v>
      </c>
      <c r="D105" s="43" t="s">
        <v>210</v>
      </c>
    </row>
    <row r="106" spans="1:4" x14ac:dyDescent="0.15">
      <c r="A106" t="s">
        <v>2</v>
      </c>
      <c r="B106" t="s">
        <v>289</v>
      </c>
      <c r="C106" s="1" t="s">
        <v>290</v>
      </c>
    </row>
    <row r="107" spans="1:4" x14ac:dyDescent="0.15">
      <c r="A107" s="42" t="s">
        <v>0</v>
      </c>
      <c r="B107" s="42" t="s">
        <v>87</v>
      </c>
      <c r="C107" s="43" t="s">
        <v>211</v>
      </c>
      <c r="D107" s="43" t="s">
        <v>212</v>
      </c>
    </row>
    <row r="108" spans="1:4" x14ac:dyDescent="0.15">
      <c r="A108" s="42" t="s">
        <v>0</v>
      </c>
      <c r="B108" s="42" t="s">
        <v>77</v>
      </c>
      <c r="C108" s="43" t="s">
        <v>213</v>
      </c>
      <c r="D108" s="43" t="s">
        <v>214</v>
      </c>
    </row>
    <row r="109" spans="1:4" x14ac:dyDescent="0.15">
      <c r="A109" s="42" t="s">
        <v>0</v>
      </c>
      <c r="B109" s="42" t="s">
        <v>240</v>
      </c>
      <c r="C109" s="43" t="s">
        <v>241</v>
      </c>
      <c r="D109" s="43"/>
    </row>
    <row r="110" spans="1:4" x14ac:dyDescent="0.15">
      <c r="A110" s="42" t="s">
        <v>0</v>
      </c>
      <c r="B110" s="42" t="s">
        <v>101</v>
      </c>
      <c r="C110" s="43" t="s">
        <v>215</v>
      </c>
      <c r="D110" s="43" t="s">
        <v>216</v>
      </c>
    </row>
    <row r="111" spans="1:4" x14ac:dyDescent="0.15">
      <c r="A111" t="s">
        <v>19</v>
      </c>
      <c r="B111" t="s">
        <v>273</v>
      </c>
      <c r="C111" s="1" t="s">
        <v>274</v>
      </c>
    </row>
    <row r="112" spans="1:4" x14ac:dyDescent="0.15">
      <c r="A112" s="44" t="s">
        <v>0</v>
      </c>
      <c r="B112" s="42" t="s">
        <v>102</v>
      </c>
      <c r="C112" s="43" t="s">
        <v>217</v>
      </c>
      <c r="D112" s="43"/>
    </row>
    <row r="113" spans="1:4" x14ac:dyDescent="0.15">
      <c r="A113" s="42" t="s">
        <v>0</v>
      </c>
      <c r="B113" s="42" t="s">
        <v>60</v>
      </c>
      <c r="C113" s="43" t="s">
        <v>218</v>
      </c>
      <c r="D113" s="43"/>
    </row>
    <row r="114" spans="1:4" x14ac:dyDescent="0.15">
      <c r="A114" s="42" t="s">
        <v>2</v>
      </c>
      <c r="B114" s="42" t="s">
        <v>103</v>
      </c>
      <c r="C114" s="45" t="s">
        <v>255</v>
      </c>
      <c r="D114" s="45"/>
    </row>
  </sheetData>
  <sortState xmlns:xlrd2="http://schemas.microsoft.com/office/spreadsheetml/2017/richdata2" ref="A2:D114">
    <sortCondition ref="B1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5A14A-9FB0-4BF8-86D1-330202220794}">
  <sheetPr codeName="S03Help">
    <tabColor rgb="FFFF0000"/>
  </sheetPr>
  <dimension ref="A1:AA300"/>
  <sheetViews>
    <sheetView showGridLines="0" zoomScaleNormal="100" workbookViewId="0"/>
  </sheetViews>
  <sheetFormatPr baseColWidth="10" defaultColWidth="9.1640625" defaultRowHeight="15" x14ac:dyDescent="0.2"/>
  <cols>
    <col min="1" max="1" width="1.6640625" style="4" customWidth="1"/>
    <col min="2" max="2" width="4.5" style="4" customWidth="1"/>
    <col min="3" max="3" width="16.6640625" style="4" customWidth="1"/>
    <col min="4" max="4" width="18" style="4" customWidth="1"/>
    <col min="5" max="5" width="4.6640625" style="4" customWidth="1"/>
    <col min="6" max="22" width="9.1640625" style="4"/>
    <col min="23" max="23" width="55.6640625" style="4" customWidth="1"/>
    <col min="24" max="16384" width="9.1640625" style="4"/>
  </cols>
  <sheetData>
    <row r="1" spans="1:27" ht="15" customHeight="1" x14ac:dyDescent="0.2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</row>
    <row r="2" spans="1:27" x14ac:dyDescent="0.2">
      <c r="A2" s="8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x14ac:dyDescent="0.2">
      <c r="A3" s="8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x14ac:dyDescent="0.2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x14ac:dyDescent="0.2"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9.5" customHeight="1" x14ac:dyDescent="0.2">
      <c r="B6" s="7"/>
      <c r="C6" s="7"/>
      <c r="D6" s="7"/>
      <c r="E6" s="7"/>
      <c r="F6" s="55" t="s">
        <v>21</v>
      </c>
      <c r="G6" s="55"/>
      <c r="H6" s="55"/>
      <c r="I6" s="55"/>
      <c r="J6" s="55"/>
      <c r="K6" s="55"/>
      <c r="L6" s="55"/>
      <c r="M6" s="55"/>
      <c r="N6" s="55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8.75" customHeight="1" x14ac:dyDescent="0.2">
      <c r="B7" s="7"/>
      <c r="C7" s="7"/>
      <c r="D7" s="7"/>
      <c r="E7" s="7"/>
      <c r="F7" s="55"/>
      <c r="G7" s="55"/>
      <c r="H7" s="55"/>
      <c r="I7" s="55"/>
      <c r="J7" s="55"/>
      <c r="K7" s="55"/>
      <c r="L7" s="55"/>
      <c r="M7" s="55"/>
      <c r="N7" s="55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8.75" customHeight="1" x14ac:dyDescent="0.2">
      <c r="B8" s="7"/>
      <c r="C8" s="7"/>
      <c r="D8" s="7"/>
      <c r="E8" s="7"/>
      <c r="F8" s="55"/>
      <c r="G8" s="55"/>
      <c r="H8" s="55"/>
      <c r="I8" s="55"/>
      <c r="J8" s="55"/>
      <c r="K8" s="55"/>
      <c r="L8" s="55"/>
      <c r="M8" s="55"/>
      <c r="N8" s="55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6.75" customHeight="1" x14ac:dyDescent="0.2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x14ac:dyDescent="0.2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9.5" customHeight="1" x14ac:dyDescent="0.2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x14ac:dyDescent="0.2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x14ac:dyDescent="0.2"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6" customHeight="1" x14ac:dyDescent="0.2"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9.5" customHeight="1" x14ac:dyDescent="0.2">
      <c r="B15" s="7"/>
      <c r="C15" s="7"/>
      <c r="D15" s="7"/>
      <c r="E15" s="7"/>
      <c r="F15" s="55" t="s">
        <v>20</v>
      </c>
      <c r="G15" s="55"/>
      <c r="H15" s="55"/>
      <c r="I15" s="55"/>
      <c r="J15" s="55"/>
      <c r="K15" s="55"/>
      <c r="L15" s="55"/>
      <c r="M15" s="55"/>
      <c r="N15" s="5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8.75" customHeight="1" x14ac:dyDescent="0.2">
      <c r="B16" s="7"/>
      <c r="C16" s="7"/>
      <c r="D16" s="7"/>
      <c r="E16" s="7"/>
      <c r="F16" s="55"/>
      <c r="G16" s="55"/>
      <c r="H16" s="55"/>
      <c r="I16" s="55"/>
      <c r="J16" s="55"/>
      <c r="K16" s="55"/>
      <c r="L16" s="55"/>
      <c r="M16" s="55"/>
      <c r="N16" s="5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ht="18" customHeight="1" x14ac:dyDescent="0.2">
      <c r="B17" s="7"/>
      <c r="C17" s="7"/>
      <c r="D17" s="7"/>
      <c r="E17" s="7"/>
      <c r="F17" s="55"/>
      <c r="G17" s="55"/>
      <c r="H17" s="55"/>
      <c r="I17" s="55"/>
      <c r="J17" s="55"/>
      <c r="K17" s="55"/>
      <c r="L17" s="55"/>
      <c r="M17" s="55"/>
      <c r="N17" s="5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ht="18" customHeight="1" x14ac:dyDescent="0.2"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2:27" ht="6" customHeight="1" x14ac:dyDescent="0.2"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2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x14ac:dyDescent="0.2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2:27" x14ac:dyDescent="0.2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2:27" x14ac:dyDescent="0.2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2:27" ht="6.75" customHeight="1" x14ac:dyDescent="0.2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ht="18.75" customHeight="1" x14ac:dyDescent="0.2"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2:27" ht="18.75" customHeight="1" x14ac:dyDescent="0.2"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2:27" ht="19.5" customHeight="1" x14ac:dyDescent="0.2"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2:27" x14ac:dyDescent="0.2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ht="5.25" customHeight="1" x14ac:dyDescent="0.2"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2:27" x14ac:dyDescent="0.2"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2:27" ht="19.5" customHeight="1" x14ac:dyDescent="0.2"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2:27" ht="19.5" customHeight="1" x14ac:dyDescent="0.2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x14ac:dyDescent="0.2"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6.75" customHeight="1" x14ac:dyDescent="0.2"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x14ac:dyDescent="0.2"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x14ac:dyDescent="0.2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x14ac:dyDescent="0.2"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x14ac:dyDescent="0.2"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x14ac:dyDescent="0.2"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x14ac:dyDescent="0.2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46.5" customHeight="1" x14ac:dyDescent="0.2"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x14ac:dyDescent="0.2"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x14ac:dyDescent="0.2">
      <c r="A50" s="5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x14ac:dyDescent="0.2"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x14ac:dyDescent="0.2"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x14ac:dyDescent="0.2"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x14ac:dyDescent="0.2"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x14ac:dyDescent="0.2"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x14ac:dyDescent="0.2"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x14ac:dyDescent="0.2"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x14ac:dyDescent="0.2"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x14ac:dyDescent="0.2"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x14ac:dyDescent="0.2"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x14ac:dyDescent="0.2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x14ac:dyDescent="0.2"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x14ac:dyDescent="0.2"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x14ac:dyDescent="0.2"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2:27" x14ac:dyDescent="0.2"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2:27" x14ac:dyDescent="0.2"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2:27" x14ac:dyDescent="0.2"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2:27" x14ac:dyDescent="0.2"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2:27" x14ac:dyDescent="0.2"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2:27" x14ac:dyDescent="0.2"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2:27" x14ac:dyDescent="0.2"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2:27" x14ac:dyDescent="0.2"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2:27" x14ac:dyDescent="0.2"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2:27" x14ac:dyDescent="0.2"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2:27" x14ac:dyDescent="0.2"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2:27" x14ac:dyDescent="0.2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2:27" x14ac:dyDescent="0.2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2:27" x14ac:dyDescent="0.2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2:27" x14ac:dyDescent="0.2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2:27" x14ac:dyDescent="0.2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2:27" x14ac:dyDescent="0.2"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2:27" x14ac:dyDescent="0.2"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2:27" x14ac:dyDescent="0.2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2:27" x14ac:dyDescent="0.2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2:27" x14ac:dyDescent="0.2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2:27" x14ac:dyDescent="0.2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2:27" x14ac:dyDescent="0.2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2:27" x14ac:dyDescent="0.2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2:27" x14ac:dyDescent="0.2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2:27" x14ac:dyDescent="0.2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2:27" x14ac:dyDescent="0.2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2:27" x14ac:dyDescent="0.2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2:27" x14ac:dyDescent="0.2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2:27" x14ac:dyDescent="0.2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2:27" x14ac:dyDescent="0.2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2:27" x14ac:dyDescent="0.2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2:27" x14ac:dyDescent="0.2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2:27" x14ac:dyDescent="0.2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2:27" x14ac:dyDescent="0.2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2:27" x14ac:dyDescent="0.2"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2:27" x14ac:dyDescent="0.2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2:27" x14ac:dyDescent="0.2"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2:27" x14ac:dyDescent="0.2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2:27" x14ac:dyDescent="0.2"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2:27" x14ac:dyDescent="0.2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2:27" x14ac:dyDescent="0.2"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2:27" x14ac:dyDescent="0.2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2:27" x14ac:dyDescent="0.2"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2:27" x14ac:dyDescent="0.2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2:27" x14ac:dyDescent="0.2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2:27" x14ac:dyDescent="0.2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2:27" x14ac:dyDescent="0.2"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2:27" x14ac:dyDescent="0.2"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2:27" x14ac:dyDescent="0.2"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2:27" x14ac:dyDescent="0.2"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2:27" x14ac:dyDescent="0.2"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2:27" x14ac:dyDescent="0.2"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2:27" x14ac:dyDescent="0.2"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2:27" x14ac:dyDescent="0.2"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2:27" x14ac:dyDescent="0.2"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2:27" x14ac:dyDescent="0.2"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2:27" x14ac:dyDescent="0.2"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2:27" x14ac:dyDescent="0.2"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2:27" x14ac:dyDescent="0.2"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2:27" x14ac:dyDescent="0.2"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2:27" x14ac:dyDescent="0.2"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2:27" x14ac:dyDescent="0.2"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2:27" x14ac:dyDescent="0.2"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2:27" x14ac:dyDescent="0.2"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2:27" x14ac:dyDescent="0.2"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2:27" x14ac:dyDescent="0.2"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2:27" x14ac:dyDescent="0.2"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2:27" x14ac:dyDescent="0.2"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2:27" x14ac:dyDescent="0.2"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2:27" x14ac:dyDescent="0.2"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2:27" x14ac:dyDescent="0.2"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2:27" x14ac:dyDescent="0.2"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2:27" x14ac:dyDescent="0.2"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2:27" x14ac:dyDescent="0.2"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2:27" x14ac:dyDescent="0.2"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2:27" x14ac:dyDescent="0.2"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2:27" x14ac:dyDescent="0.2"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2:27" x14ac:dyDescent="0.2"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2:27" x14ac:dyDescent="0.2"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2:27" x14ac:dyDescent="0.2"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2:27" x14ac:dyDescent="0.2"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2:27" x14ac:dyDescent="0.2"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2:27" x14ac:dyDescent="0.2"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2:27" x14ac:dyDescent="0.2"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2:27" x14ac:dyDescent="0.2"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2:27" x14ac:dyDescent="0.2"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2:27" x14ac:dyDescent="0.2"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2:27" x14ac:dyDescent="0.2"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2:27" x14ac:dyDescent="0.2"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2:27" x14ac:dyDescent="0.2"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2:27" x14ac:dyDescent="0.2"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2:27" x14ac:dyDescent="0.2"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2:27" x14ac:dyDescent="0.2"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2:27" x14ac:dyDescent="0.2"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2:27" x14ac:dyDescent="0.2"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2:27" x14ac:dyDescent="0.2"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2:27" x14ac:dyDescent="0.2"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2:27" x14ac:dyDescent="0.2"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2:27" x14ac:dyDescent="0.2"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2:27" x14ac:dyDescent="0.2"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2:27" x14ac:dyDescent="0.2"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2:27" x14ac:dyDescent="0.2"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2:27" x14ac:dyDescent="0.2"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2:27" x14ac:dyDescent="0.2"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2:27" x14ac:dyDescent="0.2"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2:27" x14ac:dyDescent="0.2"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2:27" x14ac:dyDescent="0.2"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2:27" x14ac:dyDescent="0.2"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2:27" x14ac:dyDescent="0.2"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2:27" x14ac:dyDescent="0.2"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2:27" x14ac:dyDescent="0.2"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2:27" x14ac:dyDescent="0.2"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2:27" x14ac:dyDescent="0.2"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2:27" x14ac:dyDescent="0.2"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2:27" x14ac:dyDescent="0.2"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2:27" x14ac:dyDescent="0.2"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2:27" x14ac:dyDescent="0.2"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2:27" x14ac:dyDescent="0.2"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2:27" x14ac:dyDescent="0.2"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2:27" x14ac:dyDescent="0.2"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2:27" x14ac:dyDescent="0.2"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2:27" x14ac:dyDescent="0.2"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2:27" x14ac:dyDescent="0.2"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2:27" x14ac:dyDescent="0.2"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2:27" x14ac:dyDescent="0.2"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2:27" x14ac:dyDescent="0.2"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2:27" x14ac:dyDescent="0.2"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2:27" x14ac:dyDescent="0.2"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2:27" x14ac:dyDescent="0.2"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2:27" x14ac:dyDescent="0.2"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2:27" x14ac:dyDescent="0.2"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2:27" x14ac:dyDescent="0.2"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2:27" x14ac:dyDescent="0.2"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2:27" x14ac:dyDescent="0.2"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2:27" x14ac:dyDescent="0.2"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2:27" x14ac:dyDescent="0.2"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2:27" x14ac:dyDescent="0.2"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2:27" x14ac:dyDescent="0.2"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2:27" x14ac:dyDescent="0.2"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2:27" x14ac:dyDescent="0.2"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2:27" x14ac:dyDescent="0.2"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2:27" x14ac:dyDescent="0.2"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2:27" x14ac:dyDescent="0.2"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2:27" x14ac:dyDescent="0.2"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2:27" x14ac:dyDescent="0.2"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2:27" x14ac:dyDescent="0.2"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2:27" x14ac:dyDescent="0.2"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2:27" x14ac:dyDescent="0.2"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2:27" x14ac:dyDescent="0.2"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2:27" x14ac:dyDescent="0.2"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2:27" x14ac:dyDescent="0.2"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2:27" x14ac:dyDescent="0.2"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2:27" x14ac:dyDescent="0.2"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2:27" x14ac:dyDescent="0.2"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2:27" x14ac:dyDescent="0.2"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2:27" x14ac:dyDescent="0.2"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2:27" x14ac:dyDescent="0.2"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2:27" x14ac:dyDescent="0.2"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2:27" x14ac:dyDescent="0.2"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2:27" x14ac:dyDescent="0.2"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2:27" x14ac:dyDescent="0.2"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2:27" x14ac:dyDescent="0.2"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2:27" x14ac:dyDescent="0.2"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2:27" x14ac:dyDescent="0.2"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2:27" x14ac:dyDescent="0.2"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2:27" x14ac:dyDescent="0.2"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2:27" x14ac:dyDescent="0.2"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2:27" x14ac:dyDescent="0.2"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2:27" x14ac:dyDescent="0.2"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2:27" x14ac:dyDescent="0.2"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2:27" x14ac:dyDescent="0.2"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2:27" x14ac:dyDescent="0.2"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2:27" x14ac:dyDescent="0.2"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2:27" x14ac:dyDescent="0.2"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2:27" x14ac:dyDescent="0.2"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2:27" x14ac:dyDescent="0.2"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2:27" x14ac:dyDescent="0.2"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2:27" x14ac:dyDescent="0.2"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2:27" x14ac:dyDescent="0.2"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2:27" x14ac:dyDescent="0.2"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2:27" x14ac:dyDescent="0.2"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2:27" x14ac:dyDescent="0.2"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2:27" x14ac:dyDescent="0.2"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2:27" x14ac:dyDescent="0.2"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2:27" x14ac:dyDescent="0.2"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2:27" x14ac:dyDescent="0.2"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2:27" x14ac:dyDescent="0.2"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2:27" x14ac:dyDescent="0.2"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2:27" x14ac:dyDescent="0.2"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2:27" x14ac:dyDescent="0.2"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2:27" x14ac:dyDescent="0.2"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2:27" x14ac:dyDescent="0.2"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2:27" x14ac:dyDescent="0.2"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2:27" x14ac:dyDescent="0.2"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2:27" x14ac:dyDescent="0.2"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2:27" x14ac:dyDescent="0.2"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2:27" x14ac:dyDescent="0.2"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2:27" x14ac:dyDescent="0.2"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2:27" x14ac:dyDescent="0.2"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2:27" x14ac:dyDescent="0.2"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2:27" x14ac:dyDescent="0.2"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2:27" x14ac:dyDescent="0.2"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2:27" x14ac:dyDescent="0.2"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2:27" x14ac:dyDescent="0.2"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2:27" x14ac:dyDescent="0.2"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2:27" x14ac:dyDescent="0.2"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2:27" x14ac:dyDescent="0.2"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2:27" x14ac:dyDescent="0.2"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2:27" x14ac:dyDescent="0.2"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2:27" x14ac:dyDescent="0.2"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2:27" x14ac:dyDescent="0.2"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2:27" x14ac:dyDescent="0.2"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2:27" x14ac:dyDescent="0.2"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2:27" x14ac:dyDescent="0.2"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2:27" x14ac:dyDescent="0.2"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2:27" x14ac:dyDescent="0.2"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2:27" x14ac:dyDescent="0.2"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2:27" x14ac:dyDescent="0.2"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2:27" x14ac:dyDescent="0.2"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2:27" x14ac:dyDescent="0.2"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2:27" x14ac:dyDescent="0.2"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2:27" x14ac:dyDescent="0.2"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2:27" x14ac:dyDescent="0.2"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2:27" x14ac:dyDescent="0.2"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2:27" x14ac:dyDescent="0.2"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2:27" x14ac:dyDescent="0.2"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2:27" x14ac:dyDescent="0.2"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2:27" x14ac:dyDescent="0.2"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2:27" x14ac:dyDescent="0.2"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2:27" x14ac:dyDescent="0.2"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2:27" x14ac:dyDescent="0.2"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2:27" x14ac:dyDescent="0.2"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2:27" x14ac:dyDescent="0.2"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2:27" x14ac:dyDescent="0.2"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2:27" x14ac:dyDescent="0.2"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</sheetData>
  <mergeCells count="2">
    <mergeCell ref="F6:N8"/>
    <mergeCell ref="F15:N17"/>
  </mergeCells>
  <pageMargins left="0.70866141732283472" right="0.70866141732283472" top="0.74803149606299213" bottom="0" header="0.31496062992125984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7DC14-645C-4641-AD90-A8B6A648F176}">
  <sheetPr codeName="S04SS"/>
  <dimension ref="A1:A55"/>
  <sheetViews>
    <sheetView showGridLines="0" topLeftCell="A10" workbookViewId="0"/>
  </sheetViews>
  <sheetFormatPr baseColWidth="10" defaultColWidth="8.83203125" defaultRowHeight="13" x14ac:dyDescent="0.15"/>
  <cols>
    <col min="1" max="3" width="25.33203125" customWidth="1"/>
  </cols>
  <sheetData>
    <row r="1" spans="1:1" x14ac:dyDescent="0.15">
      <c r="A1" t="s">
        <v>277</v>
      </c>
    </row>
    <row r="2" spans="1:1" x14ac:dyDescent="0.15">
      <c r="A2" t="s">
        <v>281</v>
      </c>
    </row>
    <row r="3" spans="1:1" x14ac:dyDescent="0.15">
      <c r="A3" t="s">
        <v>79</v>
      </c>
    </row>
    <row r="4" spans="1:1" x14ac:dyDescent="0.15">
      <c r="A4" t="s">
        <v>269</v>
      </c>
    </row>
    <row r="5" spans="1:1" x14ac:dyDescent="0.15">
      <c r="A5" t="s">
        <v>287</v>
      </c>
    </row>
    <row r="6" spans="1:1" x14ac:dyDescent="0.15">
      <c r="A6" t="s">
        <v>287</v>
      </c>
    </row>
    <row r="7" spans="1:1" x14ac:dyDescent="0.15">
      <c r="A7" t="s">
        <v>80</v>
      </c>
    </row>
    <row r="8" spans="1:1" x14ac:dyDescent="0.15">
      <c r="A8" t="s">
        <v>42</v>
      </c>
    </row>
    <row r="9" spans="1:1" x14ac:dyDescent="0.15">
      <c r="A9" t="s">
        <v>65</v>
      </c>
    </row>
    <row r="10" spans="1:1" x14ac:dyDescent="0.15">
      <c r="A10" t="s">
        <v>69</v>
      </c>
    </row>
    <row r="11" spans="1:1" x14ac:dyDescent="0.15">
      <c r="A11" t="s">
        <v>64</v>
      </c>
    </row>
    <row r="12" spans="1:1" x14ac:dyDescent="0.15">
      <c r="A12" t="s">
        <v>293</v>
      </c>
    </row>
    <row r="13" spans="1:1" x14ac:dyDescent="0.15">
      <c r="A13" t="s">
        <v>293</v>
      </c>
    </row>
    <row r="14" spans="1:1" x14ac:dyDescent="0.15">
      <c r="A14" t="s">
        <v>256</v>
      </c>
    </row>
    <row r="15" spans="1:1" x14ac:dyDescent="0.15">
      <c r="A15" t="s">
        <v>83</v>
      </c>
    </row>
    <row r="16" spans="1:1" x14ac:dyDescent="0.15">
      <c r="A16" t="s">
        <v>40</v>
      </c>
    </row>
    <row r="17" spans="1:1" x14ac:dyDescent="0.15">
      <c r="A17" t="s">
        <v>295</v>
      </c>
    </row>
    <row r="18" spans="1:1" x14ac:dyDescent="0.15">
      <c r="A18" t="s">
        <v>264</v>
      </c>
    </row>
    <row r="19" spans="1:1" x14ac:dyDescent="0.15">
      <c r="A19" t="s">
        <v>94</v>
      </c>
    </row>
    <row r="20" spans="1:1" x14ac:dyDescent="0.15">
      <c r="A20" t="s">
        <v>78</v>
      </c>
    </row>
    <row r="21" spans="1:1" x14ac:dyDescent="0.15">
      <c r="A21" t="s">
        <v>23</v>
      </c>
    </row>
    <row r="22" spans="1:1" x14ac:dyDescent="0.15">
      <c r="A22" t="s">
        <v>302</v>
      </c>
    </row>
    <row r="23" spans="1:1" x14ac:dyDescent="0.15">
      <c r="A23" t="s">
        <v>100</v>
      </c>
    </row>
    <row r="24" spans="1:1" x14ac:dyDescent="0.15">
      <c r="A24" t="s">
        <v>33</v>
      </c>
    </row>
    <row r="25" spans="1:1" x14ac:dyDescent="0.15">
      <c r="A25" t="s">
        <v>90</v>
      </c>
    </row>
    <row r="26" spans="1:1" x14ac:dyDescent="0.15">
      <c r="A26" t="s">
        <v>299</v>
      </c>
    </row>
    <row r="27" spans="1:1" x14ac:dyDescent="0.15">
      <c r="A27" t="s">
        <v>244</v>
      </c>
    </row>
    <row r="28" spans="1:1" x14ac:dyDescent="0.15">
      <c r="A28" t="s">
        <v>253</v>
      </c>
    </row>
    <row r="29" spans="1:1" x14ac:dyDescent="0.15">
      <c r="A29" t="s">
        <v>30</v>
      </c>
    </row>
    <row r="30" spans="1:1" x14ac:dyDescent="0.15">
      <c r="A30" t="s">
        <v>62</v>
      </c>
    </row>
    <row r="31" spans="1:1" x14ac:dyDescent="0.15">
      <c r="A31" t="s">
        <v>52</v>
      </c>
    </row>
    <row r="32" spans="1:1" x14ac:dyDescent="0.15">
      <c r="A32" t="s">
        <v>68</v>
      </c>
    </row>
    <row r="33" spans="1:1" x14ac:dyDescent="0.15">
      <c r="A33" t="s">
        <v>260</v>
      </c>
    </row>
    <row r="34" spans="1:1" x14ac:dyDescent="0.15">
      <c r="A34" t="s">
        <v>75</v>
      </c>
    </row>
    <row r="35" spans="1:1" x14ac:dyDescent="0.15">
      <c r="A35" t="s">
        <v>271</v>
      </c>
    </row>
    <row r="36" spans="1:1" x14ac:dyDescent="0.15">
      <c r="A36" t="s">
        <v>84</v>
      </c>
    </row>
    <row r="37" spans="1:1" x14ac:dyDescent="0.15">
      <c r="A37" t="s">
        <v>57</v>
      </c>
    </row>
    <row r="38" spans="1:1" x14ac:dyDescent="0.15">
      <c r="A38" t="s">
        <v>291</v>
      </c>
    </row>
    <row r="39" spans="1:1" x14ac:dyDescent="0.15">
      <c r="A39" t="s">
        <v>291</v>
      </c>
    </row>
    <row r="40" spans="1:1" x14ac:dyDescent="0.15">
      <c r="A40" t="s">
        <v>283</v>
      </c>
    </row>
    <row r="41" spans="1:1" x14ac:dyDescent="0.15">
      <c r="A41" t="s">
        <v>44</v>
      </c>
    </row>
    <row r="42" spans="1:1" x14ac:dyDescent="0.15">
      <c r="A42" t="s">
        <v>63</v>
      </c>
    </row>
    <row r="43" spans="1:1" x14ac:dyDescent="0.15">
      <c r="A43" t="s">
        <v>73</v>
      </c>
    </row>
    <row r="44" spans="1:1" x14ac:dyDescent="0.15">
      <c r="A44" t="s">
        <v>4</v>
      </c>
    </row>
    <row r="45" spans="1:1" x14ac:dyDescent="0.15">
      <c r="A45" t="s">
        <v>99</v>
      </c>
    </row>
    <row r="46" spans="1:1" x14ac:dyDescent="0.15">
      <c r="A46" t="s">
        <v>76</v>
      </c>
    </row>
    <row r="47" spans="1:1" x14ac:dyDescent="0.15">
      <c r="A47" t="s">
        <v>97</v>
      </c>
    </row>
    <row r="48" spans="1:1" x14ac:dyDescent="0.15">
      <c r="A48" t="s">
        <v>38</v>
      </c>
    </row>
    <row r="49" spans="1:1" x14ac:dyDescent="0.15">
      <c r="A49" t="s">
        <v>93</v>
      </c>
    </row>
    <row r="50" spans="1:1" x14ac:dyDescent="0.15">
      <c r="A50" t="s">
        <v>87</v>
      </c>
    </row>
    <row r="51" spans="1:1" x14ac:dyDescent="0.15">
      <c r="A51" t="s">
        <v>77</v>
      </c>
    </row>
    <row r="52" spans="1:1" x14ac:dyDescent="0.15">
      <c r="A52" t="s">
        <v>240</v>
      </c>
    </row>
    <row r="53" spans="1:1" x14ac:dyDescent="0.15">
      <c r="A53" t="s">
        <v>101</v>
      </c>
    </row>
    <row r="54" spans="1:1" x14ac:dyDescent="0.15">
      <c r="A54" t="s">
        <v>102</v>
      </c>
    </row>
    <row r="55" spans="1:1" x14ac:dyDescent="0.15">
      <c r="A55" t="s">
        <v>60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063A1-FAD4-45DF-8B82-AC2148270523}">
  <sheetPr codeName="S05AN"/>
  <dimension ref="A1:A26"/>
  <sheetViews>
    <sheetView showGridLines="0" workbookViewId="0">
      <selection activeCell="A25" sqref="A1:A25"/>
    </sheetView>
  </sheetViews>
  <sheetFormatPr baseColWidth="10" defaultColWidth="8.83203125" defaultRowHeight="13" x14ac:dyDescent="0.15"/>
  <cols>
    <col min="1" max="3" width="25.33203125" customWidth="1"/>
  </cols>
  <sheetData>
    <row r="1" spans="1:1" x14ac:dyDescent="0.15">
      <c r="A1" t="s">
        <v>248</v>
      </c>
    </row>
    <row r="2" spans="1:1" x14ac:dyDescent="0.15">
      <c r="A2" t="s">
        <v>50</v>
      </c>
    </row>
    <row r="3" spans="1:1" x14ac:dyDescent="0.15">
      <c r="A3" t="s">
        <v>72</v>
      </c>
    </row>
    <row r="4" spans="1:1" x14ac:dyDescent="0.15">
      <c r="A4" t="s">
        <v>266</v>
      </c>
    </row>
    <row r="5" spans="1:1" x14ac:dyDescent="0.15">
      <c r="A5" t="s">
        <v>43</v>
      </c>
    </row>
    <row r="6" spans="1:1" x14ac:dyDescent="0.15">
      <c r="A6" t="s">
        <v>53</v>
      </c>
    </row>
    <row r="7" spans="1:1" x14ac:dyDescent="0.15">
      <c r="A7" t="s">
        <v>275</v>
      </c>
    </row>
    <row r="8" spans="1:1" x14ac:dyDescent="0.15">
      <c r="A8" t="s">
        <v>55</v>
      </c>
    </row>
    <row r="9" spans="1:1" x14ac:dyDescent="0.15">
      <c r="A9" t="s">
        <v>88</v>
      </c>
    </row>
    <row r="10" spans="1:1" x14ac:dyDescent="0.15">
      <c r="A10" t="s">
        <v>303</v>
      </c>
    </row>
    <row r="11" spans="1:1" x14ac:dyDescent="0.15">
      <c r="A11" t="s">
        <v>34</v>
      </c>
    </row>
    <row r="12" spans="1:1" x14ac:dyDescent="0.15">
      <c r="A12" t="s">
        <v>279</v>
      </c>
    </row>
    <row r="13" spans="1:1" x14ac:dyDescent="0.15">
      <c r="A13" t="s">
        <v>41</v>
      </c>
    </row>
    <row r="14" spans="1:1" x14ac:dyDescent="0.15">
      <c r="A14" t="s">
        <v>26</v>
      </c>
    </row>
    <row r="15" spans="1:1" x14ac:dyDescent="0.15">
      <c r="A15" t="s">
        <v>246</v>
      </c>
    </row>
    <row r="16" spans="1:1" x14ac:dyDescent="0.15">
      <c r="A16" t="s">
        <v>28</v>
      </c>
    </row>
    <row r="17" spans="1:1" x14ac:dyDescent="0.15">
      <c r="A17" t="s">
        <v>89</v>
      </c>
    </row>
    <row r="18" spans="1:1" x14ac:dyDescent="0.15">
      <c r="A18" t="s">
        <v>251</v>
      </c>
    </row>
    <row r="19" spans="1:1" x14ac:dyDescent="0.15">
      <c r="A19" t="s">
        <v>36</v>
      </c>
    </row>
    <row r="20" spans="1:1" x14ac:dyDescent="0.15">
      <c r="A20" t="s">
        <v>25</v>
      </c>
    </row>
    <row r="21" spans="1:1" x14ac:dyDescent="0.15">
      <c r="A21" t="s">
        <v>29</v>
      </c>
    </row>
    <row r="22" spans="1:1" x14ac:dyDescent="0.15">
      <c r="A22" t="s">
        <v>24</v>
      </c>
    </row>
    <row r="23" spans="1:1" x14ac:dyDescent="0.15">
      <c r="A23" t="s">
        <v>58</v>
      </c>
    </row>
    <row r="24" spans="1:1" x14ac:dyDescent="0.15">
      <c r="A24" t="s">
        <v>31</v>
      </c>
    </row>
    <row r="25" spans="1:1" x14ac:dyDescent="0.15">
      <c r="A25" t="s">
        <v>46</v>
      </c>
    </row>
    <row r="26" spans="1:1" x14ac:dyDescent="0.15">
      <c r="A26" t="s">
        <v>289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F83C6-0F81-4375-A875-C9A946EABBE2}">
  <sheetPr codeName="S06PA"/>
  <dimension ref="A1:A30"/>
  <sheetViews>
    <sheetView showGridLines="0" workbookViewId="0"/>
  </sheetViews>
  <sheetFormatPr baseColWidth="10" defaultColWidth="8.83203125" defaultRowHeight="13" x14ac:dyDescent="0.15"/>
  <cols>
    <col min="1" max="3" width="25.33203125" customWidth="1"/>
  </cols>
  <sheetData>
    <row r="1" spans="1:1" x14ac:dyDescent="0.15">
      <c r="A1" t="s">
        <v>258</v>
      </c>
    </row>
    <row r="2" spans="1:1" x14ac:dyDescent="0.15">
      <c r="A2" t="s">
        <v>74</v>
      </c>
    </row>
    <row r="3" spans="1:1" x14ac:dyDescent="0.15">
      <c r="A3" t="s">
        <v>91</v>
      </c>
    </row>
    <row r="4" spans="1:1" x14ac:dyDescent="0.15">
      <c r="A4" t="s">
        <v>51</v>
      </c>
    </row>
    <row r="5" spans="1:1" x14ac:dyDescent="0.15">
      <c r="A5" t="s">
        <v>54</v>
      </c>
    </row>
    <row r="6" spans="1:1" x14ac:dyDescent="0.15">
      <c r="A6" t="s">
        <v>262</v>
      </c>
    </row>
    <row r="7" spans="1:1" x14ac:dyDescent="0.15">
      <c r="A7" t="s">
        <v>56</v>
      </c>
    </row>
    <row r="8" spans="1:1" x14ac:dyDescent="0.15">
      <c r="A8" t="s">
        <v>242</v>
      </c>
    </row>
    <row r="9" spans="1:1" x14ac:dyDescent="0.15">
      <c r="A9" t="s">
        <v>47</v>
      </c>
    </row>
    <row r="10" spans="1:1" x14ac:dyDescent="0.15">
      <c r="A10" t="s">
        <v>96</v>
      </c>
    </row>
    <row r="11" spans="1:1" x14ac:dyDescent="0.15">
      <c r="A11" t="s">
        <v>39</v>
      </c>
    </row>
    <row r="12" spans="1:1" x14ac:dyDescent="0.15">
      <c r="A12" t="s">
        <v>296</v>
      </c>
    </row>
    <row r="13" spans="1:1" x14ac:dyDescent="0.15">
      <c r="A13" t="s">
        <v>285</v>
      </c>
    </row>
    <row r="14" spans="1:1" x14ac:dyDescent="0.15">
      <c r="A14" t="s">
        <v>86</v>
      </c>
    </row>
    <row r="15" spans="1:1" x14ac:dyDescent="0.15">
      <c r="A15" t="s">
        <v>45</v>
      </c>
    </row>
    <row r="16" spans="1:1" x14ac:dyDescent="0.15">
      <c r="A16" t="s">
        <v>37</v>
      </c>
    </row>
    <row r="17" spans="1:1" x14ac:dyDescent="0.15">
      <c r="A17" t="s">
        <v>48</v>
      </c>
    </row>
    <row r="18" spans="1:1" x14ac:dyDescent="0.15">
      <c r="A18" t="s">
        <v>67</v>
      </c>
    </row>
    <row r="19" spans="1:1" x14ac:dyDescent="0.15">
      <c r="A19" t="s">
        <v>49</v>
      </c>
    </row>
    <row r="20" spans="1:1" x14ac:dyDescent="0.15">
      <c r="A20" t="s">
        <v>81</v>
      </c>
    </row>
    <row r="21" spans="1:1" x14ac:dyDescent="0.15">
      <c r="A21" t="s">
        <v>85</v>
      </c>
    </row>
    <row r="22" spans="1:1" x14ac:dyDescent="0.15">
      <c r="A22" t="s">
        <v>95</v>
      </c>
    </row>
    <row r="23" spans="1:1" x14ac:dyDescent="0.15">
      <c r="A23" t="s">
        <v>301</v>
      </c>
    </row>
    <row r="24" spans="1:1" x14ac:dyDescent="0.15">
      <c r="A24" t="s">
        <v>35</v>
      </c>
    </row>
    <row r="25" spans="1:1" x14ac:dyDescent="0.15">
      <c r="A25" t="s">
        <v>92</v>
      </c>
    </row>
    <row r="26" spans="1:1" x14ac:dyDescent="0.15">
      <c r="A26" t="s">
        <v>71</v>
      </c>
    </row>
    <row r="27" spans="1:1" x14ac:dyDescent="0.15">
      <c r="A27" t="s">
        <v>27</v>
      </c>
    </row>
    <row r="28" spans="1:1" x14ac:dyDescent="0.15">
      <c r="A28" t="s">
        <v>82</v>
      </c>
    </row>
    <row r="29" spans="1:1" x14ac:dyDescent="0.15">
      <c r="A29" t="s">
        <v>32</v>
      </c>
    </row>
    <row r="30" spans="1:1" x14ac:dyDescent="0.15">
      <c r="A30" t="s">
        <v>273</v>
      </c>
    </row>
  </sheetData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nurses-clip" Type="http://schemas.openxmlformats.org/officeDocument/2006/relationships/image" Target="images/52db9496-60d6-4da4-92cc-9dd3cdbec8f2.png"/><Relationship Id="rId" Type="http://schemas.openxmlformats.org/officeDocument/2006/relationships/image" Target="images/6cab3a51-a455-4abf-a408-dfe5f1723be4.png"/></Relationships>
</file>

<file path=customUI/customUI14.xml><?xml version="1.0" encoding="utf-8"?>
<customUI xmlns="http://schemas.microsoft.com/office/2009/07/customui">
  <ribbon startFromScratch="false">
    <tabs>
      <tab id="tabMSHcs" label="MSH-Call Sheet">
        <group id="GroupCallSheet" label="Call Sheet" insertBeforeMso="GroupGetExternalData">
          <button id="btnStaff" label="Staff" size="normal" onAction="btnStaff_Click" imageMso="AddOrRemoveAttendees"/>
          <button id="btnPublish" label="Print" size="normal" onAction="btnPublish_Click" imageMso="PublishMajorVersion"/>
        </group>
        <group id="GroupSupport" label="Support" insertBeforeMso="GroupGetExternalData">
          <button id="btnAbout" label="About CallSheet" size="normal" onAction="btnAbout_Click" imageMso="AddResourcesFromActiveDirectory"/>
          <button id="btnHelp" label="Help" size="normal" onAction="btnHelp_Click" imageMso="BibliographyGallery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CallSheet</vt:lpstr>
      <vt:lpstr>NameAndPhone</vt:lpstr>
      <vt:lpstr>If Nothing Works, Check This!</vt:lpstr>
      <vt:lpstr>SS</vt:lpstr>
      <vt:lpstr>AN</vt:lpstr>
      <vt:lpstr>PA</vt:lpstr>
      <vt:lpstr>CallSheet!Print_Area</vt:lpstr>
      <vt:lpstr>'If Nothing Works, Check This!'!Print_Area</vt:lpstr>
    </vt:vector>
  </TitlesOfParts>
  <Company>Queensland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Robyn Hahn</dc:creator>
  <cp:lastModifiedBy>Robyn</cp:lastModifiedBy>
  <cp:lastPrinted>2019-07-11T06:33:15Z</cp:lastPrinted>
  <dcterms:created xsi:type="dcterms:W3CDTF">2015-06-03T05:07:45Z</dcterms:created>
  <dcterms:modified xsi:type="dcterms:W3CDTF">2022-06-04T22:53:20Z</dcterms:modified>
</cp:coreProperties>
</file>